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media/image2.png" ContentType="image/png"/>
  <Override PartName="/xl/tables/table1.xml" ContentType="application/vnd.openxmlformats-officedocument.spreadsheetml.table+xml"/>
  <Override PartName="/xl/drawings/_rels/drawing2.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eguimiento" sheetId="1" state="visible" r:id="rId2"/>
    <sheet name="households" sheetId="2" state="visible" r:id="rId3"/>
    <sheet name="DL" sheetId="3" state="visible" r:id="rId4"/>
    <sheet name="TPDIN" sheetId="4" state="visible" r:id="rId5"/>
    <sheet name="data" sheetId="5" state="visible" r:id="rId6"/>
    <sheet name="hitos" sheetId="6" state="visible" r:id="rId7"/>
    <sheet name="inversion" sheetId="7" state="visible" r:id="rId8"/>
  </sheets>
  <definedNames>
    <definedName function="false" hidden="true" localSheetId="1" name="_xlnm._FilterDatabase" vbProcedure="false">households!$A$1:$AQ$101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P4"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Registrado en la visita d enoviembre 2023</t>
        </r>
      </text>
    </comment>
  </commentList>
</comments>
</file>

<file path=xl/sharedStrings.xml><?xml version="1.0" encoding="utf-8"?>
<sst xmlns="http://schemas.openxmlformats.org/spreadsheetml/2006/main" count="2933" uniqueCount="655">
  <si>
    <t xml:space="preserve">num_casa</t>
  </si>
  <si>
    <t xml:space="preserve">Nombres</t>
  </si>
  <si>
    <t xml:space="preserve">Apellidos</t>
  </si>
  <si>
    <t xml:space="preserve">comunidad</t>
  </si>
  <si>
    <t xml:space="preserve">miembros</t>
  </si>
  <si>
    <t xml:space="preserve">tipo_familia</t>
  </si>
  <si>
    <t xml:space="preserve">DL</t>
  </si>
  <si>
    <t xml:space="preserve">serie_DL</t>
  </si>
  <si>
    <t xml:space="preserve">hab</t>
  </si>
  <si>
    <t xml:space="preserve">ingreso_mensual</t>
  </si>
  <si>
    <t xml:space="preserve">latitud</t>
  </si>
  <si>
    <t xml:space="preserve">longitud</t>
  </si>
  <si>
    <t xml:space="preserve">Nov 2023 (CUIE)</t>
  </si>
  <si>
    <t xml:space="preserve">ENE 2024 (Ener)</t>
  </si>
  <si>
    <t xml:space="preserve">May 2024 (CUIE)</t>
  </si>
  <si>
    <t xml:space="preserve">Nov 2024 (CUIE)</t>
  </si>
  <si>
    <t xml:space="preserve">Ene 2025 (CUIE)</t>
  </si>
  <si>
    <t xml:space="preserve"># VISITAS CUIE</t>
  </si>
  <si>
    <t xml:space="preserve">Encuesta socio-demográfica</t>
  </si>
  <si>
    <t xml:space="preserve">Encuesta uso</t>
  </si>
  <si>
    <t xml:space="preserve">Entrevista</t>
  </si>
  <si>
    <t xml:space="preserve">Obs nov 2023</t>
  </si>
  <si>
    <t xml:space="preserve">Observaciones enero 2024</t>
  </si>
  <si>
    <t xml:space="preserve">Observaciones mayo 2024</t>
  </si>
  <si>
    <t xml:space="preserve">Observaciones nov 2024</t>
  </si>
  <si>
    <t xml:space="preserve">Componentes reemplazados nov 2024</t>
  </si>
  <si>
    <t xml:space="preserve">Reparaciones 2024</t>
  </si>
  <si>
    <t xml:space="preserve">Visitas y observaciones ENE 2025</t>
  </si>
  <si>
    <t xml:space="preserve">DL Tycon enero 2025</t>
  </si>
  <si>
    <t xml:space="preserve">Observaciones octubre 2025</t>
  </si>
  <si>
    <t xml:space="preserve">DL Tycon octubre 20252</t>
  </si>
  <si>
    <t xml:space="preserve">Adrian</t>
  </si>
  <si>
    <t xml:space="preserve">Felipes</t>
  </si>
  <si>
    <t xml:space="preserve">Sillar</t>
  </si>
  <si>
    <t xml:space="preserve">Extendido</t>
  </si>
  <si>
    <t xml:space="preserve">NO</t>
  </si>
  <si>
    <t xml:space="preserve">Cable de panel a batería remendado (20,9 V), la batería se desgasta rápido, la radio no prende porque la rueda de encendido esta rota, solo usa un foco ya que la batería se
noche</t>
  </si>
  <si>
    <t xml:space="preserve">Radio no funciona</t>
  </si>
  <si>
    <t xml:space="preserve">Tiene el cable del panel un poco pelado, por tal motivo, a veces no carga la bateria. La radio no funcionaba, se realizó el cambio.</t>
  </si>
  <si>
    <t xml:space="preserve">Radio</t>
  </si>
  <si>
    <t xml:space="preserve">Adriana</t>
  </si>
  <si>
    <t xml:space="preserve">Vallejos Zurita</t>
  </si>
  <si>
    <t xml:space="preserve">Ichuqata</t>
  </si>
  <si>
    <t xml:space="preserve">N/A</t>
  </si>
  <si>
    <t xml:space="preserve">Todo funciona bien pero perdieron la radio.</t>
  </si>
  <si>
    <t xml:space="preserve">Agustin</t>
  </si>
  <si>
    <t xml:space="preserve">Zurita Flores</t>
  </si>
  <si>
    <t xml:space="preserve">Extendido sin hijos</t>
  </si>
  <si>
    <t xml:space="preserve">Batería sucia y mal posicionada y focos sucios, cable de celular dañado pero carga</t>
  </si>
  <si>
    <t xml:space="preserve">Albino</t>
  </si>
  <si>
    <t xml:space="preserve">Acosta</t>
  </si>
  <si>
    <t xml:space="preserve">Molle Orcko</t>
  </si>
  <si>
    <t xml:space="preserve">Monoparental</t>
  </si>
  <si>
    <t xml:space="preserve">Batería mal posicionada y focos sucios</t>
  </si>
  <si>
    <t xml:space="preserve">Todo funciona adecuadamente, excepto el duplicador. </t>
  </si>
  <si>
    <t xml:space="preserve">Duplicador</t>
  </si>
  <si>
    <t xml:space="preserve">Cayó un rayo cerca de la casa y desde entonces, la batería no carga. Cuando conectamos el panel, se prende la luz roja y aparece LO.</t>
  </si>
  <si>
    <t xml:space="preserve">Alejandro </t>
  </si>
  <si>
    <t xml:space="preserve">Salbatierra Pardo</t>
  </si>
  <si>
    <t xml:space="preserve">Tetilla</t>
  </si>
  <si>
    <t xml:space="preserve">Extendido numeroso</t>
  </si>
  <si>
    <t xml:space="preserve">SI</t>
  </si>
  <si>
    <t xml:space="preserve">ID-09</t>
  </si>
  <si>
    <t xml:space="preserve">Alejo</t>
  </si>
  <si>
    <t xml:space="preserve">Tapia Inturias</t>
  </si>
  <si>
    <t xml:space="preserve">Nuclear completo</t>
  </si>
  <si>
    <t xml:space="preserve">Andrea</t>
  </si>
  <si>
    <t xml:space="preserve">Reyes Salazar</t>
  </si>
  <si>
    <t xml:space="preserve">Andres</t>
  </si>
  <si>
    <t xml:space="preserve">Blanco Velarde</t>
  </si>
  <si>
    <t xml:space="preserve">El panel se encuentra a una altura de 2m fijo en un tronco de eucalipto, dirección 202°SW, a su lado hay un árbol. La bateria Cubierta con polvo y colgada de un clavo en la pared, con carga de 75%, tiene adaptador para conectar varios dispositivos más. El LED esta en el centro del cuarto y funciona bien, la radio está en buenas condiciones.</t>
  </si>
  <si>
    <t xml:space="preserve">Batería y focos sucios</t>
  </si>
  <si>
    <t xml:space="preserve">Ninguno </t>
  </si>
  <si>
    <t xml:space="preserve">Todo funciona adecuadamente, sin embargo, uno de los interruptores de las luces hace mal contacto y se prende con maña.</t>
  </si>
  <si>
    <t xml:space="preserve">Se realizó el cambio de un sochet ya que el interruptor estaba mal (se apagaba y se prendía en cualquier momento) También se dejó una radio nueva.</t>
  </si>
  <si>
    <t xml:space="preserve">Soto Quiroz</t>
  </si>
  <si>
    <t xml:space="preserve">Nuclear completo numeroso</t>
  </si>
  <si>
    <t xml:space="preserve">Anita</t>
  </si>
  <si>
    <t xml:space="preserve">Inturias Salazar</t>
  </si>
  <si>
    <t xml:space="preserve">Molle Orcko </t>
  </si>
  <si>
    <t xml:space="preserve">Batería mal posicionada y focos sucios, radio sin pilas solo funciona conectada</t>
  </si>
  <si>
    <t xml:space="preserve">Antonio</t>
  </si>
  <si>
    <t xml:space="preserve">Negrete Montaño</t>
  </si>
  <si>
    <t xml:space="preserve">Pantalla de la bateria SHS, no refleja el estado de carga </t>
  </si>
  <si>
    <t xml:space="preserve">La pantalla de la batería no funciona y dice LOW, la carga de dispositivos es normal. La radio no funciona, se hizo el cambio. Tiene una pico lmámpara adiconar que ya tiene 8 años. </t>
  </si>
  <si>
    <t xml:space="preserve">Radio + Duplicador</t>
  </si>
  <si>
    <t xml:space="preserve">Apolinar</t>
  </si>
  <si>
    <t xml:space="preserve">Vallejos Cordova</t>
  </si>
  <si>
    <t xml:space="preserve">La radio no funcionaba y no la tenia en el domicilio</t>
  </si>
  <si>
    <t xml:space="preserve">Todo funciona adecuadamente </t>
  </si>
  <si>
    <t xml:space="preserve">Aquilino</t>
  </si>
  <si>
    <t xml:space="preserve">Quiroz Pintado</t>
  </si>
  <si>
    <t xml:space="preserve">Tipapampa</t>
  </si>
  <si>
    <t xml:space="preserve">Unipersonal</t>
  </si>
  <si>
    <t xml:space="preserve">Arminda </t>
  </si>
  <si>
    <t xml:space="preserve">Reyes Rodriguez</t>
  </si>
  <si>
    <t xml:space="preserve">Batería mal posicionada, una de las salidas del duplicador bota voltaje ligeramente menor, la radio sufrío caídas pero funciona correctamente</t>
  </si>
  <si>
    <t xml:space="preserve">Asencio</t>
  </si>
  <si>
    <t xml:space="preserve">Arebalo Fernandez</t>
  </si>
  <si>
    <t xml:space="preserve">Bartolina</t>
  </si>
  <si>
    <t xml:space="preserve">Cordova Blanco</t>
  </si>
  <si>
    <t xml:space="preserve">Basilio</t>
  </si>
  <si>
    <t xml:space="preserve">Salazar Saravia</t>
  </si>
  <si>
    <t xml:space="preserve">Batería mal posicionada y focos sucios, Cable USB de la radio roto</t>
  </si>
  <si>
    <t xml:space="preserve">Radio no funciona </t>
  </si>
  <si>
    <t xml:space="preserve">Todo funciona correctamente, excepto la radio. Tiene otra radio a pilas.</t>
  </si>
  <si>
    <t xml:space="preserve">Benancio</t>
  </si>
  <si>
    <t xml:space="preserve">Sanches Zeballos</t>
  </si>
  <si>
    <t xml:space="preserve">El duplicador no funciona, la radio funciona solamente con pilas y tiene mucha interferencia, uno de los focos fue cambiado ya que no funcionaba (N° de serie foco nuevo: 837-107; N° de serie foco viejo: 837-3773)</t>
  </si>
  <si>
    <t xml:space="preserve">Don Benancio es el dirigente de Ichuqata, se instaló un dl en su casa, se le cambió un foco LED que no funcionaba. Se cambiaron los dos cables de las luminarias. La radio funciona solo conectada.</t>
  </si>
  <si>
    <t xml:space="preserve">Se retiró el datalogger debido a que el usuario expresa que con el equipo, no cargan los celulares. Se realizó el cambio de sockets para que sean compatibles directamente con la batería.</t>
  </si>
  <si>
    <t xml:space="preserve">Benigno</t>
  </si>
  <si>
    <t xml:space="preserve">Inturias Fernandez</t>
  </si>
  <si>
    <t xml:space="preserve">Una entrada obstruida de 12 V obstruida a causa de mal manejo, la cocina esta a 4,5 metros</t>
  </si>
  <si>
    <t xml:space="preserve">Radio no funciona y puerto de USB de Bateria SHS esta dañado</t>
  </si>
  <si>
    <t xml:space="preserve">Tiene otro panel grande `100Wp pero sin batería.  El puerto USB esta dañado.</t>
  </si>
  <si>
    <t xml:space="preserve">Benjamin </t>
  </si>
  <si>
    <t xml:space="preserve">Vargas Alvarez</t>
  </si>
  <si>
    <t xml:space="preserve">Bernardino </t>
  </si>
  <si>
    <t xml:space="preserve">Gandanrillas Garcia</t>
  </si>
  <si>
    <t xml:space="preserve">Bonifacio</t>
  </si>
  <si>
    <t xml:space="preserve">Molina Pardo</t>
  </si>
  <si>
    <t xml:space="preserve">Batería mal posicionada y focos sucios, la radio tiene un sonido de interferencia fuerte, No hay Data Logger, la cocina esta en el cuarto</t>
  </si>
  <si>
    <t xml:space="preserve">Calixto</t>
  </si>
  <si>
    <t xml:space="preserve">Agreda Inturias</t>
  </si>
  <si>
    <t xml:space="preserve">Pareja nuclear</t>
  </si>
  <si>
    <t xml:space="preserve">Se arreglo el psicionamiento de los cables de los focos</t>
  </si>
  <si>
    <t xml:space="preserve">Ninguno</t>
  </si>
  <si>
    <t xml:space="preserve">Vive solo un adulto mayor con su hijo. Solo se encontraba el primero en casa. Dice que todo funciona bien. Tiene dos paneles. Uno de ellos estaba en el piso, se le recomendó que lo instale con un soporte.</t>
  </si>
  <si>
    <t xml:space="preserve">Negrete Choque</t>
  </si>
  <si>
    <t xml:space="preserve">Carlos</t>
  </si>
  <si>
    <t xml:space="preserve">Negrete Zurita</t>
  </si>
  <si>
    <t xml:space="preserve">ID-21</t>
  </si>
  <si>
    <t xml:space="preserve">Se entrego radio nueva. MOD: ET RICF10</t>
  </si>
  <si>
    <t xml:space="preserve">Todo funciona adecuadamente, la radio fue cambiada por Energética con anterioridad.</t>
  </si>
  <si>
    <t xml:space="preserve">Celestina</t>
  </si>
  <si>
    <t xml:space="preserve">Inturias Claros de Rodriguez</t>
  </si>
  <si>
    <t xml:space="preserve">Monoparental numeroso</t>
  </si>
  <si>
    <t xml:space="preserve">ID-22</t>
  </si>
  <si>
    <t xml:space="preserve">Funciona adecuadamente excepto la radio, que solo funciona conectada. Se realizó el cambio del duplicador porque no cargaban los dispositivos.</t>
  </si>
  <si>
    <t xml:space="preserve">Claudio</t>
  </si>
  <si>
    <t xml:space="preserve">Meneses Vargas</t>
  </si>
  <si>
    <t xml:space="preserve">Batería mal posicionada y foco sucio, falta un foco y cable</t>
  </si>
  <si>
    <t xml:space="preserve">Clemente </t>
  </si>
  <si>
    <t xml:space="preserve">Rivera Correa</t>
  </si>
  <si>
    <t xml:space="preserve">Cresencio </t>
  </si>
  <si>
    <t xml:space="preserve">Galindo Lopez</t>
  </si>
  <si>
    <t xml:space="preserve">si</t>
  </si>
  <si>
    <t xml:space="preserve">REG06</t>
  </si>
  <si>
    <t xml:space="preserve">Se instaló DL. Todo funciona adecuadamente.</t>
  </si>
  <si>
    <t xml:space="preserve">Se retiró el datalogger porque el puerto USB esta suelto y dice que no carga su celular. Se dejó una radio nueva.</t>
  </si>
  <si>
    <t xml:space="preserve">Cristina</t>
  </si>
  <si>
    <t xml:space="preserve">Tapia Sanchez</t>
  </si>
  <si>
    <t xml:space="preserve">Dario </t>
  </si>
  <si>
    <t xml:space="preserve">Bargas</t>
  </si>
  <si>
    <t xml:space="preserve">El sistema fue desmontado y guardado, la batería se la llevó Juan Andia, el cable de panel fue cortado y remendado (21,3V), el interruptor de 5 m fue manipulado y no No esta la radio, no esta el duplicador de USB</t>
  </si>
  <si>
    <t xml:space="preserve">El SHS no esta en uso. El usuario indicó que la batería no funcionaba y se la llevó Energética.</t>
  </si>
  <si>
    <t xml:space="preserve">Diogenes</t>
  </si>
  <si>
    <t xml:space="preserve">Tapia Rojas</t>
  </si>
  <si>
    <t xml:space="preserve">Radio no funciona deconectado </t>
  </si>
  <si>
    <t xml:space="preserve">Dionicio</t>
  </si>
  <si>
    <t xml:space="preserve">Inturias Garcia</t>
  </si>
  <si>
    <t xml:space="preserve">Dionisio</t>
  </si>
  <si>
    <t xml:space="preserve">Vargas Castro</t>
  </si>
  <si>
    <t xml:space="preserve">REG 09</t>
  </si>
  <si>
    <t xml:space="preserve">Domingo</t>
  </si>
  <si>
    <t xml:space="preserve">Vallejos Coca</t>
  </si>
  <si>
    <t xml:space="preserve">La radio no sintoniza. Realizaron un cambio al cable y aún así no cargaba. Se realizó el cambio de la radio.</t>
  </si>
  <si>
    <t xml:space="preserve">Edelfrida</t>
  </si>
  <si>
    <t xml:space="preserve">Jimenez Sanchez</t>
  </si>
  <si>
    <t xml:space="preserve">Emilio</t>
  </si>
  <si>
    <t xml:space="preserve">Barrios Inturias</t>
  </si>
  <si>
    <t xml:space="preserve">La entrada de puerto USB de la Bateria SHS  no funciona </t>
  </si>
  <si>
    <t xml:space="preserve">Eugenia</t>
  </si>
  <si>
    <t xml:space="preserve">Chami Romero</t>
  </si>
  <si>
    <t xml:space="preserve">El cable de alimentación de la radio esta roto e internamente la radio no prende si no es con baterías, no tiene Data Logger, los cables estaban sucios por la lluvia, se movieron</t>
  </si>
  <si>
    <t xml:space="preserve">Tiene un segundo panel solar más grande. ~100Wp. El SHS funciona de forma adecuada. La radio no funcionaba, se realizó el cambio.</t>
  </si>
  <si>
    <t xml:space="preserve">Eugenio</t>
  </si>
  <si>
    <t xml:space="preserve">Campos Rojas</t>
  </si>
  <si>
    <t xml:space="preserve">Un foco con agua debido a encontrarse en interperie, perdió el duplicador, la radio esta destrozada</t>
  </si>
  <si>
    <t xml:space="preserve">Evangelio</t>
  </si>
  <si>
    <t xml:space="preserve">Coca Siles</t>
  </si>
  <si>
    <t xml:space="preserve">REG05</t>
  </si>
  <si>
    <t xml:space="preserve">Todo funciona adecuadamente.  La radio funciona conectada.</t>
  </si>
  <si>
    <t xml:space="preserve">Felipe </t>
  </si>
  <si>
    <t xml:space="preserve">ID-39</t>
  </si>
  <si>
    <t xml:space="preserve">Todo funciona adecuadamente excepto la radio, se realizó el cambio. Se retiró un datalogger con ID 39. No se reconoce la memoria, al parecer está quemada.</t>
  </si>
  <si>
    <t xml:space="preserve">radio</t>
  </si>
  <si>
    <t xml:space="preserve">Felix</t>
  </si>
  <si>
    <t xml:space="preserve">Arroyo Encinas</t>
  </si>
  <si>
    <t xml:space="preserve">Vasquez Vallejos</t>
  </si>
  <si>
    <t xml:space="preserve">Bateria de SHS no funciona </t>
  </si>
  <si>
    <t xml:space="preserve">Se realizó la reparación de la batería.</t>
  </si>
  <si>
    <t xml:space="preserve">Fernando</t>
  </si>
  <si>
    <t xml:space="preserve">Inturias Blanco</t>
  </si>
  <si>
    <t xml:space="preserve">La batería mal posicionada, los focos estan sucios, la radio esta dañada por caída, no capta AM y tiene una pieza suelta</t>
  </si>
  <si>
    <t xml:space="preserve">Fidelia </t>
  </si>
  <si>
    <t xml:space="preserve">Arebalo Calderon</t>
  </si>
  <si>
    <t xml:space="preserve">Florencia</t>
  </si>
  <si>
    <t xml:space="preserve">Barrios Salvatierra</t>
  </si>
  <si>
    <t xml:space="preserve">Florencio</t>
  </si>
  <si>
    <t xml:space="preserve">Zurita Agreda</t>
  </si>
  <si>
    <t xml:space="preserve">No hay Data Logger, perdió la radio, la cocina esta a 6 m, movió el sistema en Diciembre</t>
  </si>
  <si>
    <t xml:space="preserve">Se cambió la radio en mal estado y también se dejó un cable de celular. La litio se cayó en el mes de noviembre y se daño la entrada central del jack. Se cubrío con cinta aislante. Lo demás funciona correctamente.</t>
  </si>
  <si>
    <t xml:space="preserve">La radio funcionó una sola vez después de la primera carga y luego ya no. Se le dejó una nueva radio</t>
  </si>
  <si>
    <t xml:space="preserve">Francisco</t>
  </si>
  <si>
    <t xml:space="preserve">Salvatierra Cordova</t>
  </si>
  <si>
    <t xml:space="preserve">Batería mal posicionada y sucia, perdió su duplicador, radio no funcionaba; se entregó duplicador y pilas tontas</t>
  </si>
  <si>
    <t xml:space="preserve">German</t>
  </si>
  <si>
    <t xml:space="preserve">Calderon Pantoja </t>
  </si>
  <si>
    <t xml:space="preserve">Rodriguez Calero</t>
  </si>
  <si>
    <t xml:space="preserve">Guilber</t>
  </si>
  <si>
    <t xml:space="preserve">Salazar Flores</t>
  </si>
  <si>
    <t xml:space="preserve">La radio cuenta con un sonido fuerte de interferencia, se cambio por una nueva</t>
  </si>
  <si>
    <t xml:space="preserve">Se instaló DL. Todo funcionaba con normalidad.</t>
  </si>
  <si>
    <t xml:space="preserve">No se encontró a la familia en la casa. Los vecinos dicen que se mudaron a Laguna Grande. Recuperar la próxima. Se presume que no está en funcionamiento.</t>
  </si>
  <si>
    <t xml:space="preserve">Guillermo</t>
  </si>
  <si>
    <t xml:space="preserve">ID-44</t>
  </si>
  <si>
    <t xml:space="preserve">Batería mal posicionada y focos sucios, una salida del duplicador bota voltaje ligeramente menor</t>
  </si>
  <si>
    <t xml:space="preserve">Radio no funciona  y celular carga lento </t>
  </si>
  <si>
    <t xml:space="preserve">Se instaló DL. Se cambió la radio. Todo lo demás funciona correctamente. La carga de celular era lenta.</t>
  </si>
  <si>
    <t xml:space="preserve">La batería de su radio duraba poco así que se le dejó una nueva radio. Don Calixto se lo arregló su radio así que le dejamos otra que no funcionaba a él para que la arregle.</t>
  </si>
  <si>
    <t xml:space="preserve">Cordova Vasquez</t>
  </si>
  <si>
    <t xml:space="preserve">Hay un cable suelto, se corrigio la sujecion de este, habia un foco de 3 watts mojandose, no tiene Data Logger, la cocina estaba en el dormitorio</t>
  </si>
  <si>
    <t xml:space="preserve">Romero Becerra</t>
  </si>
  <si>
    <t xml:space="preserve">La batería se encuentra sucia y mal posicionada, el celular carga de manera lenta, el modelo es TECNO POP 7</t>
  </si>
  <si>
    <t xml:space="preserve">Se instaló un DL. Se dejó uno de los cables de luminaria antiguos porque estaba enredado en una planta. Todo funcionaba adecuadamente.</t>
  </si>
  <si>
    <t xml:space="preserve">Su radio nuevamente no  funciona. Se dejó una nueva radio. Al parecer el cable no estaba bien. </t>
  </si>
  <si>
    <t xml:space="preserve">Humberto</t>
  </si>
  <si>
    <t xml:space="preserve">Sanchez Vallejos</t>
  </si>
  <si>
    <t xml:space="preserve">ID-47</t>
  </si>
  <si>
    <t xml:space="preserve">Irinea</t>
  </si>
  <si>
    <t xml:space="preserve">Batería mal posicionada y focos sucios, No hay Data Logger, la cocina esta a 5 m</t>
  </si>
  <si>
    <t xml:space="preserve">Todo funciona adecuadamente, excepto la radio. Se cambió la radio y se instaló un datalogger (3). El número de su nieta Vilma es 68461792</t>
  </si>
  <si>
    <t xml:space="preserve">Se retiró el dataloger una semana después de la instalación porque la batería dejó de cargar. Posible corte en el micro controlador de la batería.</t>
  </si>
  <si>
    <t xml:space="preserve">Isabel</t>
  </si>
  <si>
    <t xml:space="preserve">Zurita de Vallejos</t>
  </si>
  <si>
    <t xml:space="preserve">Se le cambió la radio. Dicen que solamente funcionó dos meses. Después todo funciona con normalidad. Tiene dos sistemas, la batería del segundo sistema dejó de funcionar hace un mes. Cuando se conecta el panel se enciende la luz roja de la batería y dice Low en la pantalla y no carga.</t>
  </si>
  <si>
    <t xml:space="preserve">Hinojosa</t>
  </si>
  <si>
    <t xml:space="preserve">Extendido numeroso sin hijos</t>
  </si>
  <si>
    <t xml:space="preserve">Vive sola, su radio no funciona, nos la entregó.</t>
  </si>
  <si>
    <t xml:space="preserve">Isidoro </t>
  </si>
  <si>
    <t xml:space="preserve">Fernandez</t>
  </si>
  <si>
    <t xml:space="preserve">Su radio solo funciona conectada. Se dejó un cable USB para cargar celular, el suyo no funcionaba.</t>
  </si>
  <si>
    <t xml:space="preserve">Jose</t>
  </si>
  <si>
    <t xml:space="preserve">Acosta Inturias</t>
  </si>
  <si>
    <t xml:space="preserve">?</t>
  </si>
  <si>
    <t xml:space="preserve">A veces se apagan los focos de repente, la batería dice LOW a pesar de estar cargando. Carga celular con normalidad.</t>
  </si>
  <si>
    <t xml:space="preserve">Funciona todo con normalidad, excepto la radio. Se realizó el cambio de la radio y se instaló un DL.</t>
  </si>
  <si>
    <t xml:space="preserve">La batería de la radio estaba fallando después de hacer arreglar ya una vez. Lo demás funciona con normalidad. También se le dejó un cable USB.</t>
  </si>
  <si>
    <t xml:space="preserve">Julian</t>
  </si>
  <si>
    <t xml:space="preserve">Zurita</t>
  </si>
  <si>
    <t xml:space="preserve">La radio tiene volumen bajo, el Data Logger no estaba conectado, se corrigio la conexión y se lo dejo funcionando, ID48, la cocina esta a 3 metros.</t>
  </si>
  <si>
    <t xml:space="preserve">Justina</t>
  </si>
  <si>
    <t xml:space="preserve">Salazar Soto de Inturias</t>
  </si>
  <si>
    <t xml:space="preserve">Radio no sintoniza AM, potenciometro de la radio variable, no carga bien la batería</t>
  </si>
  <si>
    <t xml:space="preserve">Justino </t>
  </si>
  <si>
    <t xml:space="preserve">Vallejos Montaño</t>
  </si>
  <si>
    <t xml:space="preserve">NO hay la estructura del panel, la radio contaba con pilas con pilas tontas, se les entrego nueva radio (SEDE). Batería mal posicionada y focos sucios, el encendido de la radio esta mal, No hay Data Logger, movió el sistema en Diciembre y Enero, la cocina esta a 5 m (CASA)</t>
  </si>
  <si>
    <t xml:space="preserve">Radio no funciona y celular carga lento</t>
  </si>
  <si>
    <t xml:space="preserve">Leon </t>
  </si>
  <si>
    <t xml:space="preserve">Cabrera Becerra</t>
  </si>
  <si>
    <t xml:space="preserve">La radio solo funciona a pilas y no capta ninguna señal</t>
  </si>
  <si>
    <t xml:space="preserve">Funciona bien, excepto la radio, solo funciona conectada.</t>
  </si>
  <si>
    <t xml:space="preserve">Leonarda</t>
  </si>
  <si>
    <t xml:space="preserve">Quiroz Iriarte</t>
  </si>
  <si>
    <t xml:space="preserve">El conector USB se encuentra roto, La usuaria compró otro sistema no perteneciente al proyecto N° de Litio: 201604200726 y panel N°: 201611011449</t>
  </si>
  <si>
    <t xml:space="preserve">Tiene 2 SHS. Uno pertenece a otro proyecto. De una de sus litios, la entrada USB está dañada, quieren saber si hay forma de solucionar. También indica que no le dieron la radio en la entrega porque no tenía cable para conectar y le dijeron que le iban a cambiar pero nunca le dieron.</t>
  </si>
  <si>
    <t xml:space="preserve">Tenía un cable dañado así que se le cambió un socket. También se dejó una radio ya que indicaron que en la entrega no les dieron. </t>
  </si>
  <si>
    <t xml:space="preserve">Lorenzo </t>
  </si>
  <si>
    <t xml:space="preserve">El SHS funciona adecuadamente. La familia tomó medidas de cuidado del sistema, como protección de los cables del sol y limpieza semanal del panel.</t>
  </si>
  <si>
    <t xml:space="preserve">Luciano </t>
  </si>
  <si>
    <t xml:space="preserve">Zurita Pantoja</t>
  </si>
  <si>
    <t xml:space="preserve">Lucio</t>
  </si>
  <si>
    <t xml:space="preserve">Vargas Claros</t>
  </si>
  <si>
    <t xml:space="preserve">Marcelino</t>
  </si>
  <si>
    <t xml:space="preserve">-</t>
  </si>
  <si>
    <t xml:space="preserve">Mario </t>
  </si>
  <si>
    <t xml:space="preserve">Batería mal posicionada, panel desmontado, focos guardados y junto con cables</t>
  </si>
  <si>
    <t xml:space="preserve">Panel no funciona (cargan con otro panel)</t>
  </si>
  <si>
    <t xml:space="preserve">Martin</t>
  </si>
  <si>
    <t xml:space="preserve">Salazar</t>
  </si>
  <si>
    <t xml:space="preserve">REG02</t>
  </si>
  <si>
    <t xml:space="preserve">El sistema se encontraba desmontado al llegar, se retiro y cambio de BMS (Serie nuevo BMS: 201709260200; Antiguo: 201704260271)</t>
  </si>
  <si>
    <t xml:space="preserve">Celular carga lento </t>
  </si>
  <si>
    <t xml:space="preserve">Zurita Cabrera</t>
  </si>
  <si>
    <t xml:space="preserve">Perdió el duplicador y el cargador de su celular</t>
  </si>
  <si>
    <t xml:space="preserve">Maura</t>
  </si>
  <si>
    <t xml:space="preserve">Miguel</t>
  </si>
  <si>
    <t xml:space="preserve">Meneses Claros</t>
  </si>
  <si>
    <t xml:space="preserve">Moises</t>
  </si>
  <si>
    <t xml:space="preserve">Batería mal posicionada y sucia, focos sucios, un foco a l ainterperie con agua acumulada</t>
  </si>
  <si>
    <t xml:space="preserve">La radio funciona solo enchufada. Lo demás funciona adecuadamente, excepto el duplicador.</t>
  </si>
  <si>
    <t xml:space="preserve">Natividad</t>
  </si>
  <si>
    <t xml:space="preserve">Montaño Vela</t>
  </si>
  <si>
    <t xml:space="preserve">Los sistemas no estaban en casa, se los llevaron al Chaco. Dice que la radio no funciona. Volverán en marzo.</t>
  </si>
  <si>
    <t xml:space="preserve">Nicacia</t>
  </si>
  <si>
    <t xml:space="preserve">Rodriguez</t>
  </si>
  <si>
    <t xml:space="preserve">Olimpio</t>
  </si>
  <si>
    <t xml:space="preserve">No tiene Data Logger, la cocina esta en el dormitorio</t>
  </si>
  <si>
    <t xml:space="preserve">Funciona adecuadamente excepto la radio, se realizó el cambio.</t>
  </si>
  <si>
    <t xml:space="preserve">Panfilo</t>
  </si>
  <si>
    <t xml:space="preserve">Cabrera Vallejos</t>
  </si>
  <si>
    <t xml:space="preserve">La radio no se encontraba en el domicilio</t>
  </si>
  <si>
    <t xml:space="preserve">Todo funciona adecuadamente. Es un adulto mayor que vive solo.</t>
  </si>
  <si>
    <t xml:space="preserve">Pascual</t>
  </si>
  <si>
    <t xml:space="preserve">Zurita Iriarte</t>
  </si>
  <si>
    <t xml:space="preserve">ID-46</t>
  </si>
  <si>
    <t xml:space="preserve">Batería mal posicionada y focos sucios, perdió el duplicador</t>
  </si>
  <si>
    <t xml:space="preserve">Todo funciona adecuadamente, tiene picolámpara.</t>
  </si>
  <si>
    <t xml:space="preserve"> </t>
  </si>
  <si>
    <t xml:space="preserve">Primitivo</t>
  </si>
  <si>
    <t xml:space="preserve">Agreda Vargas</t>
  </si>
  <si>
    <t xml:space="preserve">REG04</t>
  </si>
  <si>
    <t xml:space="preserve">Funciona adecuadamente excepto la radio. Se realizó el cambio.</t>
  </si>
  <si>
    <t xml:space="preserve">Raimundo</t>
  </si>
  <si>
    <t xml:space="preserve">Zurita Cordova</t>
  </si>
  <si>
    <t xml:space="preserve">REG07</t>
  </si>
  <si>
    <t xml:space="preserve">La batería no funciona, su polo positivo se encuentra desoldado, el cable para cargar su celular no funciona bien (micro USB)</t>
  </si>
  <si>
    <t xml:space="preserve">Todo funciona adecuadamente. Tiene 2 SHS.</t>
  </si>
  <si>
    <t xml:space="preserve">Remigio</t>
  </si>
  <si>
    <t xml:space="preserve">Rodriguez Inturias</t>
  </si>
  <si>
    <t xml:space="preserve">REG01</t>
  </si>
  <si>
    <t xml:space="preserve">Batería mal posicionada y focos sucios ,Juan Andia retiro su Data Logger por error de carga</t>
  </si>
  <si>
    <t xml:space="preserve">Todo funciona adecuadamente.</t>
  </si>
  <si>
    <t xml:space="preserve">Se instaló un DL, solo se recogió un cable de luminaria. Todo funciona correctamente.</t>
  </si>
  <si>
    <t xml:space="preserve">Se retiró el datalogger. Dice que no cargaba su celular cuando conectaba.</t>
  </si>
  <si>
    <t xml:space="preserve">Rodolfo</t>
  </si>
  <si>
    <t xml:space="preserve">Agreda Barrios</t>
  </si>
  <si>
    <t xml:space="preserve">ID-36</t>
  </si>
  <si>
    <t xml:space="preserve">Batería mal posicionada y sucia, la radio no funciona</t>
  </si>
  <si>
    <t xml:space="preserve">Trabaja en las minas, no se encontraba pero si su hermano, a quién se realizó el cambio de la radio.</t>
  </si>
  <si>
    <t xml:space="preserve">Roman</t>
  </si>
  <si>
    <t xml:space="preserve">La batería se encuentra sucia, la radio esta rota debido a caída pero funciona</t>
  </si>
  <si>
    <t xml:space="preserve">Valverde Claros</t>
  </si>
  <si>
    <t xml:space="preserve">Rosa</t>
  </si>
  <si>
    <t xml:space="preserve">Cabrera Conde</t>
  </si>
  <si>
    <t xml:space="preserve">Rosalinda</t>
  </si>
  <si>
    <t xml:space="preserve">Agreda Blanco</t>
  </si>
  <si>
    <t xml:space="preserve">Sandalio</t>
  </si>
  <si>
    <t xml:space="preserve">Becerra</t>
  </si>
  <si>
    <t xml:space="preserve">No hay duplicador USB, solo un foco, la radio no funciona a causa de estar rota, el panel tenia una liga amarrada sobre este, una salida de 12 V estaba rota</t>
  </si>
  <si>
    <t xml:space="preserve">Santos</t>
  </si>
  <si>
    <t xml:space="preserve">Saturna</t>
  </si>
  <si>
    <t xml:space="preserve">Vargas Rodriguez</t>
  </si>
  <si>
    <t xml:space="preserve">Batería mal posicionada y focos sucios, no utilizan la radio</t>
  </si>
  <si>
    <t xml:space="preserve">Teodora</t>
  </si>
  <si>
    <t xml:space="preserve">Vallejos de Zurita</t>
  </si>
  <si>
    <t xml:space="preserve">Extendido  </t>
  </si>
  <si>
    <t xml:space="preserve">Valeriano</t>
  </si>
  <si>
    <t xml:space="preserve">Romero   </t>
  </si>
  <si>
    <t xml:space="preserve">Batería sucia, una de las salidas de la batería para foco se encuentra rota, panel sobre el techo no en la estructura metálica y el Data Logger se encontraba desconectado debido que no permitía cargar el celular correctamente</t>
  </si>
  <si>
    <t xml:space="preserve">Puerto de  USB de bateria, para cargar el celular no funciona </t>
  </si>
  <si>
    <t xml:space="preserve">El señor vive solo, la radio la usa su hijo. Usa el panel y la batería para tener luz en un cuarto que usa como iglesia evangélica. </t>
  </si>
  <si>
    <t xml:space="preserve">Vicente </t>
  </si>
  <si>
    <t xml:space="preserve">Duplicador no funcionaba y se entrego nuevo</t>
  </si>
  <si>
    <t xml:space="preserve">Bateria  SHS no funciona</t>
  </si>
  <si>
    <t xml:space="preserve">Inturias Claros</t>
  </si>
  <si>
    <t xml:space="preserve">Batería mal posicionada y focos sucios, una salida de foco esta rota</t>
  </si>
  <si>
    <t xml:space="preserve">Puerto malogrado de UBS de la bateria USB</t>
  </si>
  <si>
    <t xml:space="preserve">Victor </t>
  </si>
  <si>
    <t xml:space="preserve">Tapia Vallejos</t>
  </si>
  <si>
    <t xml:space="preserve">REG08</t>
  </si>
  <si>
    <t xml:space="preserve">Ua radio con pilas solamente ya que no puede conectar la radio a salida USB ya que prefería cargar celulares</t>
  </si>
  <si>
    <t xml:space="preserve">Victoriano </t>
  </si>
  <si>
    <t xml:space="preserve">Virginia</t>
  </si>
  <si>
    <t xml:space="preserve">Garcia Montaño</t>
  </si>
  <si>
    <t xml:space="preserve">Zenon</t>
  </si>
  <si>
    <t xml:space="preserve">Total visitas</t>
  </si>
  <si>
    <t xml:space="preserve">hogares visitados en total</t>
  </si>
  <si>
    <t xml:space="preserve">ningun problema técnico</t>
  </si>
  <si>
    <t xml:space="preserve">Problemas con las baterías</t>
  </si>
  <si>
    <t xml:space="preserve">Problemas con las radios</t>
  </si>
  <si>
    <t xml:space="preserve">Problemas con el panel</t>
  </si>
  <si>
    <t xml:space="preserve">N°</t>
  </si>
  <si>
    <t xml:space="preserve">Fecha</t>
  </si>
  <si>
    <t xml:space="preserve">sexo_cabeza</t>
  </si>
  <si>
    <t xml:space="preserve">edad_cabeza</t>
  </si>
  <si>
    <t xml:space="preserve">ocupacion</t>
  </si>
  <si>
    <t xml:space="preserve">CI</t>
  </si>
  <si>
    <t xml:space="preserve">hijos_0_5</t>
  </si>
  <si>
    <t xml:space="preserve">hijos_5_17</t>
  </si>
  <si>
    <t xml:space="preserve">adultos_17_59</t>
  </si>
  <si>
    <t xml:space="preserve">adultos_mas_60</t>
  </si>
  <si>
    <t xml:space="preserve">agri_gan</t>
  </si>
  <si>
    <t xml:space="preserve">trab_hogar_agr_gan</t>
  </si>
  <si>
    <t xml:space="preserve">sin_actividad</t>
  </si>
  <si>
    <t xml:space="preserve">hijos_en_escuela</t>
  </si>
  <si>
    <t xml:space="preserve">apoyo_eco</t>
  </si>
  <si>
    <t xml:space="preserve">habitaciones</t>
  </si>
  <si>
    <t xml:space="preserve">migracion_temporal</t>
  </si>
  <si>
    <t xml:space="preserve">Periodo de migracion</t>
  </si>
  <si>
    <t xml:space="preserve">panel_solar</t>
  </si>
  <si>
    <t xml:space="preserve">iluminacion</t>
  </si>
  <si>
    <t xml:space="preserve">gasto_mens_iluminacion</t>
  </si>
  <si>
    <t xml:space="preserve">horario_imp</t>
  </si>
  <si>
    <t xml:space="preserve">hora_dormir</t>
  </si>
  <si>
    <t xml:space="preserve">equipos</t>
  </si>
  <si>
    <t xml:space="preserve">cocina</t>
  </si>
  <si>
    <t xml:space="preserve">gasto_comb</t>
  </si>
  <si>
    <t xml:space="preserve">agua</t>
  </si>
  <si>
    <t xml:space="preserve">freq_agua_sem</t>
  </si>
  <si>
    <t xml:space="preserve">DL 02-2023/02-2024</t>
  </si>
  <si>
    <t xml:space="preserve">serie_panel</t>
  </si>
  <si>
    <t xml:space="preserve">serie_bateria</t>
  </si>
  <si>
    <t xml:space="preserve">serie_LED_2W</t>
  </si>
  <si>
    <t xml:space="preserve">serie_LED_3W</t>
  </si>
  <si>
    <t xml:space="preserve">viaje_nov_2023</t>
  </si>
  <si>
    <t xml:space="preserve">datos_dl</t>
  </si>
  <si>
    <t xml:space="preserve">Masculino</t>
  </si>
  <si>
    <t xml:space="preserve">Agricultor</t>
  </si>
  <si>
    <t xml:space="preserve">No</t>
  </si>
  <si>
    <t xml:space="preserve">no</t>
  </si>
  <si>
    <t xml:space="preserve">linterna</t>
  </si>
  <si>
    <t xml:space="preserve">Noche</t>
  </si>
  <si>
    <t xml:space="preserve">Celular</t>
  </si>
  <si>
    <t xml:space="preserve">Biomasa</t>
  </si>
  <si>
    <t xml:space="preserve">Rio</t>
  </si>
  <si>
    <t xml:space="preserve">NO SE PRESENTÓ AL RECOJO</t>
  </si>
  <si>
    <t xml:space="preserve">Femenino</t>
  </si>
  <si>
    <t xml:space="preserve">Labores de casa</t>
  </si>
  <si>
    <t xml:space="preserve">velas linternas</t>
  </si>
  <si>
    <t xml:space="preserve">red</t>
  </si>
  <si>
    <t xml:space="preserve">Si</t>
  </si>
  <si>
    <t xml:space="preserve">Primavera</t>
  </si>
  <si>
    <t xml:space="preserve">velas linternas mechero</t>
  </si>
  <si>
    <t xml:space="preserve">24 horas</t>
  </si>
  <si>
    <t xml:space="preserve">Celular Radio</t>
  </si>
  <si>
    <t xml:space="preserve">Vertiente</t>
  </si>
  <si>
    <t xml:space="preserve">Verano</t>
  </si>
  <si>
    <t xml:space="preserve">velas linternas </t>
  </si>
  <si>
    <t xml:space="preserve">celular radio</t>
  </si>
  <si>
    <t xml:space="preserve">Biomasa </t>
  </si>
  <si>
    <t xml:space="preserve">biomasa gas</t>
  </si>
  <si>
    <t xml:space="preserve">Rio </t>
  </si>
  <si>
    <t xml:space="preserve">linternas picolamparas</t>
  </si>
  <si>
    <t xml:space="preserve">Albañil</t>
  </si>
  <si>
    <t xml:space="preserve">Tarde y Noche</t>
  </si>
  <si>
    <t xml:space="preserve">Estudiante</t>
  </si>
  <si>
    <t xml:space="preserve">Invierno</t>
  </si>
  <si>
    <t xml:space="preserve">Primavera y verano</t>
  </si>
  <si>
    <t xml:space="preserve">Picolampara</t>
  </si>
  <si>
    <t xml:space="preserve">celular</t>
  </si>
  <si>
    <t xml:space="preserve">Minero</t>
  </si>
  <si>
    <t xml:space="preserve">Panel solar</t>
  </si>
  <si>
    <t xml:space="preserve">Lluvia</t>
  </si>
  <si>
    <t xml:space="preserve">Gas </t>
  </si>
  <si>
    <t xml:space="preserve">Linternas y mecheros</t>
  </si>
  <si>
    <t xml:space="preserve">ninguno</t>
  </si>
  <si>
    <t xml:space="preserve">Segun encuesta</t>
  </si>
  <si>
    <t xml:space="preserve">Primavera y Invierno</t>
  </si>
  <si>
    <t xml:space="preserve">Velas </t>
  </si>
  <si>
    <t xml:space="preserve">Mecheros</t>
  </si>
  <si>
    <t xml:space="preserve">invierno </t>
  </si>
  <si>
    <t xml:space="preserve">Jimenez Snachez</t>
  </si>
  <si>
    <t xml:space="preserve">invierno</t>
  </si>
  <si>
    <t xml:space="preserve"> Segun Energetica</t>
  </si>
  <si>
    <t xml:space="preserve">no </t>
  </si>
  <si>
    <t xml:space="preserve">velas mecheros</t>
  </si>
  <si>
    <t xml:space="preserve">verano</t>
  </si>
  <si>
    <t xml:space="preserve">27?</t>
  </si>
  <si>
    <t xml:space="preserve">Irene </t>
  </si>
  <si>
    <t xml:space="preserve">Verano e invierno</t>
  </si>
  <si>
    <t xml:space="preserve">Invierno y verano</t>
  </si>
  <si>
    <t xml:space="preserve">velas linternas picolampara</t>
  </si>
  <si>
    <t xml:space="preserve">Velas</t>
  </si>
  <si>
    <t xml:space="preserve">panel solar</t>
  </si>
  <si>
    <t xml:space="preserve">Vertiente  y Lluvia</t>
  </si>
  <si>
    <t xml:space="preserve">primavera</t>
  </si>
  <si>
    <t xml:space="preserve">Nro</t>
  </si>
  <si>
    <t xml:space="preserve">Instalación</t>
  </si>
  <si>
    <t xml:space="preserve">Vaciado 1</t>
  </si>
  <si>
    <t xml:space="preserve">Vaciado 2</t>
  </si>
  <si>
    <t xml:space="preserve">Total datos (meses)</t>
  </si>
  <si>
    <t xml:space="preserve">Testeado</t>
  </si>
  <si>
    <t xml:space="preserve">Pruebas</t>
  </si>
  <si>
    <t xml:space="preserve">Conclusiones</t>
  </si>
  <si>
    <t xml:space="preserve">Localización</t>
  </si>
  <si>
    <t xml:space="preserve">Los datos recogidos son suficientemento buenos como para usarlos?</t>
  </si>
  <si>
    <t xml:space="preserve">Inicio</t>
  </si>
  <si>
    <t xml:space="preserve">Final</t>
  </si>
  <si>
    <t xml:space="preserve">Observaciones</t>
  </si>
  <si>
    <t xml:space="preserve">a sept 2024</t>
  </si>
  <si>
    <t xml:space="preserve">El dispositivo de almacenamiento (SD) ofrece la ventaja de ser extraíble de manera sencilla, simplemente se inserta y se retira. La microSD tiene buen funcionamiento, almacena datos. Se almacenaron datos desde la instalación hasta la recogida. Alto consumo de energía. La SD se encontraba formateada.</t>
  </si>
  <si>
    <t xml:space="preserve">La hora y fecha están desconfigurada. El celular carga. Registró datos desde la instalación hasta el primer vaciado.</t>
  </si>
  <si>
    <t xml:space="preserve">Se podría reinstalar, sujeto a reacondicionamiento y pruebas adicionales.</t>
  </si>
  <si>
    <t xml:space="preserve">CUIE</t>
  </si>
  <si>
    <t xml:space="preserve">Retirado en el ultimo viaje. No grabó datos, se encontraba desconectado. Se indica que hay un alto consumo de energía de la bateria.</t>
  </si>
  <si>
    <t xml:space="preserve">Se recogió en mayo 2024</t>
  </si>
  <si>
    <t xml:space="preserve">El dispositivo de almacenamiento (SD) ofrece la ventaja de ser extraíble de manera sencilla, simplemente se inserta y se retira, pero require un ajuste del pernos de  la tarjeta. La microSD tiene buen funcionamiento, almacena datos. Sin embargo, no registró datos desde la instalación. La SD se encontraba formateada.</t>
  </si>
  <si>
    <t xml:space="preserve">Registra datos. Requiere pruebas adicionales. El celular carga.</t>
  </si>
  <si>
    <t xml:space="preserve">Presenta condiciones críticas en los cables, conexión forzada de LED y entradas USB, la ranura para microSD está dañada. La memoria Samsung calienta cuando se conecta al lector. Alto consumo de energía. No registró datos desde la instalación.</t>
  </si>
  <si>
    <t xml:space="preserve">Registra datos. Fecha y hora desconfiguradas. Celular carga. Requiere pruebas adicionales con cambio de micro SD.</t>
  </si>
  <si>
    <t xml:space="preserve">Reacondicionamiento necesario, cambio de micro SD.</t>
  </si>
  <si>
    <t xml:space="preserve">ENERGETICA</t>
  </si>
  <si>
    <t xml:space="preserve">SD formateada. Joaquín entregó al final el dispositivo. No funciona. No registró datos desde la instalación.</t>
  </si>
  <si>
    <t xml:space="preserve">No registra datos.</t>
  </si>
  <si>
    <t xml:space="preserve">Reacondicionamiento necesario.</t>
  </si>
  <si>
    <t xml:space="preserve">Registró datos desde la instalación hasta la recogida de los equipos. Presenta condiciones críticas en los cables, conexión forzada de LED y entradas USB, la ranura para microSD está dañada.</t>
  </si>
  <si>
    <t xml:space="preserve">Carga celulares. Hora desconfigurada. Requiere pruebas adicionales. Regristró datos desde la instalación hasta la primera y segunda vez que se vaciaron los datos.</t>
  </si>
  <si>
    <t xml:space="preserve">Se podría reinstalar, sujeto a reacondicionamiento y pruebas adicionales con nueva micro SD.</t>
  </si>
  <si>
    <t xml:space="preserve">Registró datos desde la instalación hasta la recogida de los equipos. Fechas desconfiguradas. Presenta condiciones críticas en los cables, conexión forzada de LED y entradas USB, la ranura para microSD está dañada.</t>
  </si>
  <si>
    <t xml:space="preserve">Localizar y recoger en la próxima visita.</t>
  </si>
  <si>
    <t xml:space="preserve">Raqaypampa</t>
  </si>
  <si>
    <t xml:space="preserve">ID 39</t>
  </si>
  <si>
    <t xml:space="preserve">Se recogió en el trabajo de campo de noviembre 2024. No se reconoce la memoria, aparéntemente se encuentra quemada.</t>
  </si>
  <si>
    <t xml:space="preserve">SD dañada. No se reconece al conectar al lector. Calienta. Registró datos desde la instalación hasta la primera recogida. Presenta condiciones críticas en los cables, conexión forzada de LED y entradas USB, la ranura para microSD está dañada.</t>
  </si>
  <si>
    <t xml:space="preserve">Celular carga. Se requieren pruebas adicionales con nueva micro SD.</t>
  </si>
  <si>
    <t xml:space="preserve">Registó datos correctamente desde la instalación hasta la primera recogida. Sin embargo, la SD se encontró formateada en el segundo recojo de datos. El dispositivo de almacenamiento (SD) ofrece la ventaja de ser extraíble de manera sencilla, simplemente se inserta y se retira. La microSD tiene buen funcionamiento, almacena datos. </t>
  </si>
  <si>
    <t xml:space="preserve">El celular carga. Registra datos. Requiere pruebas adicionales.</t>
  </si>
  <si>
    <t xml:space="preserve">Micro SD dañada, calienta al conectar al lector. Registró datos desde la instalación hasta el primer vaciado de datos. Presenta condiciones críticas en los cables, conexión forzada de LED y entradas USB, la ranura para microSD está dañada. Registró datos hasta la primera recogida.</t>
  </si>
  <si>
    <t xml:space="preserve">Registra datos. Celular carga. Requiere pruebas adicionales con nueva micro SD.</t>
  </si>
  <si>
    <t xml:space="preserve">Entregado por Joaquín, no funciona</t>
  </si>
  <si>
    <t xml:space="preserve">Presenta condiciones críticas en los cables, conexión forzada de LED y entradas USB, la ranura para microSD está dañada. No registró ningún dato desde la instalación.</t>
  </si>
  <si>
    <t xml:space="preserve">Registra datos, pero, al conectar el celular para la carga, por el contrario, el celular se descarga.</t>
  </si>
  <si>
    <t xml:space="preserve">Sanchez</t>
  </si>
  <si>
    <t xml:space="preserve">No existen datos en la memoria, se encontraba desconectado. El usuario registró un alto consumo de energía de la batería.</t>
  </si>
  <si>
    <t xml:space="preserve">Recogido en mayo 2024</t>
  </si>
  <si>
    <t xml:space="preserve">Crecencio</t>
  </si>
  <si>
    <t xml:space="preserve">Galindo</t>
  </si>
  <si>
    <t xml:space="preserve">REG 06</t>
  </si>
  <si>
    <t xml:space="preserve">Existen datos en la menoria, se encontraba conectado al momento del retiro.</t>
  </si>
  <si>
    <t xml:space="preserve">Serie</t>
  </si>
  <si>
    <t xml:space="preserve">ID</t>
  </si>
  <si>
    <t xml:space="preserve">Locación</t>
  </si>
  <si>
    <t xml:space="preserve">Frimware</t>
  </si>
  <si>
    <t xml:space="preserve">232903841ARC03</t>
  </si>
  <si>
    <t xml:space="preserve">DL-1</t>
  </si>
  <si>
    <t xml:space="preserve">2.2.3k</t>
  </si>
  <si>
    <t xml:space="preserve">232903842ARC03</t>
  </si>
  <si>
    <t xml:space="preserve">DL-2</t>
  </si>
  <si>
    <t xml:space="preserve">232903843ARC03</t>
  </si>
  <si>
    <t xml:space="preserve">DL-3</t>
  </si>
  <si>
    <t xml:space="preserve">232903844ARC03</t>
  </si>
  <si>
    <t xml:space="preserve">DL-4</t>
  </si>
  <si>
    <t xml:space="preserve">232903845ARC03</t>
  </si>
  <si>
    <t xml:space="preserve">DL-5</t>
  </si>
  <si>
    <t xml:space="preserve">Prototipo</t>
  </si>
  <si>
    <t xml:space="preserve">232903846ARC03</t>
  </si>
  <si>
    <t xml:space="preserve">DL-6</t>
  </si>
  <si>
    <t xml:space="preserve">232903847ARC03 </t>
  </si>
  <si>
    <t xml:space="preserve">DL-7</t>
  </si>
  <si>
    <t xml:space="preserve">CUIE/José</t>
  </si>
  <si>
    <t xml:space="preserve">Se modificará en el CUIE para realizar pruebas</t>
  </si>
  <si>
    <t xml:space="preserve">232903848ARC03</t>
  </si>
  <si>
    <t xml:space="preserve">DL-8</t>
  </si>
  <si>
    <t xml:space="preserve">232903849ARC03</t>
  </si>
  <si>
    <t xml:space="preserve">DL-9</t>
  </si>
  <si>
    <t xml:space="preserve">232903850ARC03</t>
  </si>
  <si>
    <t xml:space="preserve">DL-0</t>
  </si>
  <si>
    <t xml:space="preserve">Se usa tal cual con otro sistema en el laboratorio de paneles</t>
  </si>
  <si>
    <t xml:space="preserve">Se entregaron 16 sockets a la empresa</t>
  </si>
  <si>
    <t xml:space="preserve">Datos</t>
  </si>
  <si>
    <t xml:space="preserve"># de familias</t>
  </si>
  <si>
    <t xml:space="preserve">Instrumento</t>
  </si>
  <si>
    <t xml:space="preserve">Datos2</t>
  </si>
  <si>
    <t xml:space="preserve">Características socioeconómicas y demográficas</t>
  </si>
  <si>
    <t xml:space="preserve">cuestionario_entrega</t>
  </si>
  <si>
    <t xml:space="preserve">Datos socioeconómicos y demográficos</t>
  </si>
  <si>
    <t xml:space="preserve">Datos consumo DL</t>
  </si>
  <si>
    <t xml:space="preserve">data_dataloggers</t>
  </si>
  <si>
    <t xml:space="preserve">1 mes de datos</t>
  </si>
  <si>
    <t xml:space="preserve">3 meses de datos</t>
  </si>
  <si>
    <t xml:space="preserve">9 familias</t>
  </si>
  <si>
    <t xml:space="preserve">1-11 meses</t>
  </si>
  <si>
    <t xml:space="preserve">Actividades cotidianas, gestión y uso de la energía, impacto del proyecto y percepción de la calidad del servicio.</t>
  </si>
  <si>
    <t xml:space="preserve">Encuesta a hogares Nov 2023</t>
  </si>
  <si>
    <t xml:space="preserve">Datos encuesta Nov 2023</t>
  </si>
  <si>
    <t xml:space="preserve">Revisión técnica de los paneles</t>
  </si>
  <si>
    <t xml:space="preserve">Ficha de inspección paneles</t>
  </si>
  <si>
    <t xml:space="preserve">4 meses de datos</t>
  </si>
  <si>
    <t xml:space="preserve">9 meses de datos</t>
  </si>
  <si>
    <t xml:space="preserve">Encuesta a hogares May 2024</t>
  </si>
  <si>
    <t xml:space="preserve">Datos encuesta May 2024</t>
  </si>
  <si>
    <t xml:space="preserve">Entrevistas a usuarios y autoridades</t>
  </si>
  <si>
    <t xml:space="preserve">guia_entrevista_mayo2024</t>
  </si>
  <si>
    <t xml:space="preserve">entrevistas_mayo2024</t>
  </si>
  <si>
    <t xml:space="preserve">data_dl</t>
  </si>
  <si>
    <t xml:space="preserve">11 meses de datos</t>
  </si>
  <si>
    <t xml:space="preserve">Actividad</t>
  </si>
  <si>
    <t xml:space="preserve">Responsable</t>
  </si>
  <si>
    <t xml:space="preserve">Descripción</t>
  </si>
  <si>
    <t xml:space="preserve">Viaje de reconocimiento y coordinación</t>
  </si>
  <si>
    <t xml:space="preserve">CUIE - Energetica</t>
  </si>
  <si>
    <t xml:space="preserve">Viaje inicial para conversar con autoridades, reconocimiento del terreno, firma de compromiso.</t>
  </si>
  <si>
    <t xml:space="preserve">Demostración de opciones y reunión con comunarios y autoridades</t>
  </si>
  <si>
    <t xml:space="preserve">Viaje realizado para mostrar las opciones de sistemas solares que existen, decición en plenaria por parte de los comunarios y sus autoridades.</t>
  </si>
  <si>
    <t xml:space="preserve">Firma del convenio UMSS-RAQ-Energetica</t>
  </si>
  <si>
    <t xml:space="preserve">CUIE - Energetica -TIOC RAQ</t>
  </si>
  <si>
    <t xml:space="preserve">Se firmó el convenio entre el CUIE, Energetica y las autoridades de Raqaypampa.</t>
  </si>
  <si>
    <t xml:space="preserve">Entrega de paneles solares</t>
  </si>
  <si>
    <t xml:space="preserve">Se realizó la entrega de los paneles a familias de las comunidades de Ichuqata, Molle Orcko, Sillar, Tetilla y Tipapampa.</t>
  </si>
  <si>
    <t xml:space="preserve">Relevamiento inicial de datos socio-economicos</t>
  </si>
  <si>
    <t xml:space="preserve">Se aplicaron encuestas a las 100 familias beneficiarias para elaborar el perfil socio-demográfico.</t>
  </si>
  <si>
    <t xml:space="preserve">Instalación dataloggers 1</t>
  </si>
  <si>
    <t xml:space="preserve">Energetica</t>
  </si>
  <si>
    <t xml:space="preserve">Se instalaron los primeros 10 dataloggers</t>
  </si>
  <si>
    <t xml:space="preserve">Instalación de dataloggers 2 (recuperación de datos 1)</t>
  </si>
  <si>
    <t xml:space="preserve">Se recuperaron datos de 5 dataloggers. Se instalaron otros 6</t>
  </si>
  <si>
    <t xml:space="preserve">Visita de ENERGETICA, recouperación de 2 dataloggers</t>
  </si>
  <si>
    <t xml:space="preserve">Energética</t>
  </si>
  <si>
    <t xml:space="preserve">Se hizo una visita técnica a los hogares y se recuperaron 2 dataloggers</t>
  </si>
  <si>
    <t xml:space="preserve">Trabajo de campo 1 (investigacion)</t>
  </si>
  <si>
    <t xml:space="preserve">Se realizó la primera campaña de recolección de información luego de la entrega. Se calcanzaron 16 hogares. También se hicieron inspecciones técnicas. Se recuperó 1 datalogger.</t>
  </si>
  <si>
    <t xml:space="preserve">Visita técnica ENERGETICA Recuperación de dataloggers 2 y seguimiento a fallas </t>
  </si>
  <si>
    <t xml:space="preserve">Energética realizó una nueva visita técnica.</t>
  </si>
  <si>
    <t xml:space="preserve">Trabajo de campo 2 (investigación) </t>
  </si>
  <si>
    <t xml:space="preserve">Se realizó un viaje para recolectar información, donde se alcanzó un total de 41 familias.</t>
  </si>
  <si>
    <t xml:space="preserve">Trabajo de campo 3 (investigación) - Inv Cualitativa</t>
  </si>
  <si>
    <t xml:space="preserve">Enfoque en entrevistas CUALITATIVAS. Se realizó la visita a 25 familias, donde se realizaron revisiones técnicas a los sistemas y también se conducieron entrevistas cualitativas grabadas.</t>
  </si>
  <si>
    <t xml:space="preserve">Trabajo de campo 4 (investigación) - Instalación DL</t>
  </si>
  <si>
    <t xml:space="preserve">Se instalaron los 8 dataloggers</t>
  </si>
  <si>
    <t xml:space="preserve">Se revisaron los DL instalados y se vaciaron datos</t>
  </si>
  <si>
    <t xml:space="preserve">Visita técnica ENERGETICA - Acondicionamiento de SS - Escuela de Molle Orcko</t>
  </si>
  <si>
    <t xml:space="preserve">Trabajo de campo 5 (investigación) - 1er vaciado de datos</t>
  </si>
  <si>
    <t xml:space="preserve">Enfoque en encuestas CUANTITATIVAS</t>
  </si>
  <si>
    <t xml:space="preserve">Trabajo de campo 5 (investigación) - Seguimiento</t>
  </si>
  <si>
    <t xml:space="preserve">Trabajo de campo 6 (investigación) - Vaciado final de datos y retirado de DL</t>
  </si>
  <si>
    <t xml:space="preserve">Posible visita a otras comunidades, para aplicar nuevos instrumentos.</t>
  </si>
  <si>
    <t xml:space="preserve">Ingreso</t>
  </si>
  <si>
    <t xml:space="preserve">Egreso</t>
  </si>
  <si>
    <t xml:space="preserve">Aporte Raqaypampa</t>
  </si>
  <si>
    <t xml:space="preserve">ARES</t>
  </si>
  <si>
    <t xml:space="preserve">Kits litio 7 Ah</t>
  </si>
  <si>
    <t xml:space="preserve">Dataloggers (Recup, Acond, Calibracion) 22434</t>
  </si>
  <si>
    <t xml:space="preserve">Dataloggers adicionales R-3922</t>
  </si>
  <si>
    <t xml:space="preserve">Diagnostico Ragaypampa Laguna Grande</t>
  </si>
  <si>
    <t xml:space="preserve">Diagnostico Ragaypampa Santiago</t>
  </si>
  <si>
    <t xml:space="preserve">Diagnostico Ragaypampa</t>
  </si>
  <si>
    <t xml:space="preserve">Entrega Y Distribucion Kits litio Grupo Nº 1</t>
  </si>
  <si>
    <t xml:space="preserve">Entrega Y Distribucion Kits litio GrupoNº 2</t>
  </si>
  <si>
    <t xml:space="preserve">Capacitacion y Monitoreo Raqaypampa Mizque</t>
  </si>
  <si>
    <t xml:space="preserve">Capacitacion y Monitoreo Molle Orko</t>
  </si>
  <si>
    <t xml:space="preserve">Instalacion Data Logger -Ichukata</t>
  </si>
  <si>
    <t xml:space="preserve">Recojo  Data loggers y revision Equipos C/Ichucata</t>
  </si>
  <si>
    <t xml:space="preserve">Becarios</t>
  </si>
  <si>
    <t xml:space="preserve">Reparacion de Dataloggers con fallos, recogidos por personal de la UMSS en Nov2023. Revision de Data loggers recogidos por Joaquin aun no devueltos desde Oct 2023
</t>
  </si>
  <si>
    <t xml:space="preserve">accesorios 3G y otros (lamparas, soquets, duplicadores,Radios AM/FM, cables USB)</t>
  </si>
  <si>
    <t xml:space="preserve">Adaptaciones radios</t>
  </si>
  <si>
    <t xml:space="preserve">Data loggers Tycon</t>
  </si>
  <si>
    <t xml:space="preserve">Adaptación DL</t>
  </si>
  <si>
    <t xml:space="preserve">Atencion de reclamos Observados en sistemas de Litio (revision y/o reparacion lamparas, baterias, data loggers etc). Reforzamiento de Capacitacion in situ 2do Revision y Recojo informacion Data Loggers en 2 comunidades( 6 dias 3 personas)</t>
  </si>
  <si>
    <t xml:space="preserve">Revision de Sistemas de Litio,  atencion de reclamos in situ en 2 comunidades. Reforzamiento de Capacitacion a usuario final. 2da Revision y Recojo informacion Data Loggers en 2 comunidades</t>
  </si>
  <si>
    <t xml:space="preserve">Trabajo de campo becaria</t>
  </si>
  <si>
    <t xml:space="preserve">Pago incentivo Becaria</t>
  </si>
  <si>
    <t xml:space="preserve">baterias 150 VRLA</t>
  </si>
  <si>
    <t xml:space="preserve">Total saldo al 31/12/2023</t>
  </si>
  <si>
    <t xml:space="preserve">Total ejecutado al 17/09/2024</t>
  </si>
  <si>
    <t xml:space="preserve">Total saldo al 17/09/2024</t>
  </si>
  <si>
    <t xml:space="preserve">Previsto 2024 ENERGETICA</t>
  </si>
  <si>
    <t xml:space="preserve">Re-instalacion y/o Re-ubicación de Data Loggers reparados e Instalacion de nuevos Data Loggers a demanda de la UMSS</t>
  </si>
  <si>
    <t xml:space="preserve">Ingreso Semestral Seguimiento y Capacitacion a 100 beneficiarios (7 dias en campo)</t>
  </si>
  <si>
    <t xml:space="preserve">3ro Recojo informacion Data Loggers (Oct2024)</t>
  </si>
  <si>
    <t xml:space="preserve">Total previsto para viajes 2024</t>
  </si>
  <si>
    <t xml:space="preserve">Saldo menos previstos</t>
  </si>
</sst>
</file>

<file path=xl/styles.xml><?xml version="1.0" encoding="utf-8"?>
<styleSheet xmlns="http://schemas.openxmlformats.org/spreadsheetml/2006/main">
  <numFmts count="7">
    <numFmt numFmtId="164" formatCode="General"/>
    <numFmt numFmtId="165" formatCode="0"/>
    <numFmt numFmtId="166" formatCode="[$-F400]h:mm:ss\ AM/PM"/>
    <numFmt numFmtId="167" formatCode="m/d/yyyy"/>
    <numFmt numFmtId="168" formatCode="mmm\-yy"/>
    <numFmt numFmtId="169" formatCode="0.00"/>
    <numFmt numFmtId="170" formatCode="General"/>
  </numFmts>
  <fonts count="16">
    <font>
      <sz val="11"/>
      <color rgb="FF000000"/>
      <name val="Calibri"/>
      <family val="2"/>
      <charset val="1"/>
    </font>
    <font>
      <sz val="10"/>
      <name val="Arial"/>
      <family val="0"/>
    </font>
    <font>
      <sz val="10"/>
      <name val="Arial"/>
      <family val="0"/>
    </font>
    <font>
      <sz val="10"/>
      <name val="Arial"/>
      <family val="0"/>
    </font>
    <font>
      <u val="single"/>
      <sz val="11"/>
      <color rgb="FF467886"/>
      <name val="Aptos Narrow"/>
      <family val="2"/>
      <charset val="1"/>
    </font>
    <font>
      <b val="true"/>
      <sz val="11"/>
      <color rgb="FF000000"/>
      <name val="Calibri"/>
      <family val="2"/>
      <charset val="1"/>
    </font>
    <font>
      <sz val="11"/>
      <color rgb="FF4472C4"/>
      <name val="Calibri"/>
      <family val="2"/>
      <charset val="1"/>
    </font>
    <font>
      <sz val="10"/>
      <color rgb="FF000000"/>
      <name val="Arial Unicode MS"/>
      <family val="0"/>
      <charset val="1"/>
    </font>
    <font>
      <b val="true"/>
      <sz val="16"/>
      <color rgb="FF70AD47"/>
      <name val="Calibri"/>
      <family val="2"/>
      <charset val="1"/>
    </font>
    <font>
      <b val="true"/>
      <sz val="16"/>
      <color rgb="FFFF0000"/>
      <name val="Calibri"/>
      <family val="2"/>
      <charset val="1"/>
    </font>
    <font>
      <b val="true"/>
      <sz val="16"/>
      <color rgb="FF4472C4"/>
      <name val="Calibri"/>
      <family val="2"/>
      <charset val="1"/>
    </font>
    <font>
      <b val="true"/>
      <sz val="16"/>
      <color rgb="FF000000"/>
      <name val="Calibri"/>
      <family val="2"/>
      <charset val="1"/>
    </font>
    <font>
      <b val="true"/>
      <sz val="14"/>
      <color rgb="FF000000"/>
      <name val="Calibri"/>
      <family val="2"/>
      <charset val="1"/>
    </font>
    <font>
      <sz val="10"/>
      <color rgb="FF000000"/>
      <name val="Calibri"/>
      <family val="0"/>
      <charset val="1"/>
    </font>
    <font>
      <sz val="10"/>
      <color rgb="FF000000"/>
      <name val="Arial Rounded MT Bold"/>
      <family val="0"/>
      <charset val="1"/>
    </font>
    <font>
      <sz val="11"/>
      <name val="Calibri"/>
      <family val="2"/>
      <charset val="1"/>
    </font>
  </fonts>
  <fills count="12">
    <fill>
      <patternFill patternType="none"/>
    </fill>
    <fill>
      <patternFill patternType="gray125"/>
    </fill>
    <fill>
      <patternFill patternType="solid">
        <fgColor rgb="FFFFF2CC"/>
        <bgColor rgb="FFFBE5D6"/>
      </patternFill>
    </fill>
    <fill>
      <patternFill patternType="solid">
        <fgColor rgb="FFF8CBAD"/>
        <bgColor rgb="FFFFE699"/>
      </patternFill>
    </fill>
    <fill>
      <patternFill patternType="solid">
        <fgColor rgb="FFFFFF00"/>
        <bgColor rgb="FFFFFF00"/>
      </patternFill>
    </fill>
    <fill>
      <patternFill patternType="solid">
        <fgColor rgb="FFF4B183"/>
        <bgColor rgb="FFF8CBAD"/>
      </patternFill>
    </fill>
    <fill>
      <patternFill patternType="solid">
        <fgColor rgb="FFFF0000"/>
        <bgColor rgb="FF993300"/>
      </patternFill>
    </fill>
    <fill>
      <patternFill patternType="solid">
        <fgColor rgb="FFE2F0D9"/>
        <bgColor rgb="FFFBE5D6"/>
      </patternFill>
    </fill>
    <fill>
      <patternFill patternType="solid">
        <fgColor rgb="FFFFE699"/>
        <bgColor rgb="FFFFF2CC"/>
      </patternFill>
    </fill>
    <fill>
      <patternFill patternType="solid">
        <fgColor rgb="FFFBE5D6"/>
        <bgColor rgb="FFFFF2CC"/>
      </patternFill>
    </fill>
    <fill>
      <patternFill patternType="solid">
        <fgColor rgb="FFB4E5A2"/>
        <bgColor rgb="FFE2F0D9"/>
      </patternFill>
    </fill>
    <fill>
      <patternFill patternType="solid">
        <fgColor rgb="FFE87331"/>
        <bgColor rgb="FFFF8080"/>
      </patternFill>
    </fill>
  </fills>
  <borders count="13">
    <border diagonalUp="false" diagonalDown="false">
      <left/>
      <right/>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medium">
        <color rgb="FF808080"/>
      </left>
      <right/>
      <top/>
      <bottom style="medium">
        <color rgb="FF808080"/>
      </bottom>
      <diagonal/>
    </border>
    <border diagonalUp="false" diagonalDown="false">
      <left style="medium">
        <color rgb="FF808080"/>
      </left>
      <right/>
      <top style="medium">
        <color rgb="FF808080"/>
      </top>
      <bottom style="medium">
        <color rgb="FF80808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false">
      <alignment horizontal="right"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4" fontId="5" fillId="0" borderId="5" xfId="0" applyFont="true" applyBorder="true" applyAlignment="true" applyProtection="false">
      <alignment horizontal="general" vertical="bottom"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right"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left" vertical="bottom"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2" borderId="6" xfId="0" applyFont="false" applyBorder="true" applyAlignment="false" applyProtection="false">
      <alignment horizontal="general" vertical="bottom" textRotation="0" wrapText="false" indent="0" shrinkToFit="false"/>
      <protection locked="true" hidden="false"/>
    </xf>
    <xf numFmtId="164" fontId="0" fillId="3" borderId="4" xfId="0" applyFont="tru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7" xfId="0" applyFont="tru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true" applyProtection="false">
      <alignment horizontal="general" vertical="bottom" textRotation="0" wrapText="true" indent="0" shrinkToFit="false"/>
      <protection locked="true" hidden="false"/>
    </xf>
    <xf numFmtId="164" fontId="0" fillId="2" borderId="7" xfId="0" applyFont="false" applyBorder="true" applyAlignment="true" applyProtection="false">
      <alignment horizontal="right" vertical="bottom" textRotation="0" wrapText="false" indent="0" shrinkToFit="false"/>
      <protection locked="true" hidden="false"/>
    </xf>
    <xf numFmtId="164" fontId="0" fillId="2" borderId="4" xfId="0" applyFont="false" applyBorder="true" applyAlignment="true" applyProtection="false">
      <alignment horizontal="left" vertical="bottom" textRotation="0" wrapText="true" indent="0" shrinkToFit="false"/>
      <protection locked="true" hidden="false"/>
    </xf>
    <xf numFmtId="164" fontId="0" fillId="2" borderId="4" xfId="0" applyFont="false" applyBorder="true" applyAlignment="true" applyProtection="false">
      <alignment horizontal="lef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7" xfId="0" applyFont="true" applyBorder="true" applyAlignment="true" applyProtection="false">
      <alignment horizontal="general" vertical="bottom" textRotation="0" wrapText="true" indent="0" shrinkToFit="false"/>
      <protection locked="true" hidden="false"/>
    </xf>
    <xf numFmtId="164" fontId="0" fillId="3" borderId="4" xfId="0" applyFont="true" applyBorder="true" applyAlignment="true" applyProtection="false">
      <alignment horizontal="left" vertical="bottom" textRotation="0" wrapText="true" indent="0" shrinkToFit="false"/>
      <protection locked="true" hidden="false"/>
    </xf>
    <xf numFmtId="164" fontId="0" fillId="3" borderId="7" xfId="0" applyFont="false" applyBorder="true" applyAlignment="false" applyProtection="false">
      <alignment horizontal="general" vertical="bottom" textRotation="0" wrapText="false" indent="0" shrinkToFit="false"/>
      <protection locked="true" hidden="false"/>
    </xf>
    <xf numFmtId="164" fontId="0" fillId="3" borderId="4" xfId="0" applyFont="false" applyBorder="true" applyAlignment="true" applyProtection="false">
      <alignment horizontal="left" vertical="bottom" textRotation="0" wrapText="false" indent="0" shrinkToFit="false"/>
      <protection locked="true" hidden="false"/>
    </xf>
    <xf numFmtId="164" fontId="0" fillId="4" borderId="6" xfId="0" applyFont="false" applyBorder="true" applyAlignment="false" applyProtection="false">
      <alignment horizontal="general" vertical="bottom" textRotation="0" wrapText="false" indent="0" shrinkToFit="false"/>
      <protection locked="true" hidden="false"/>
    </xf>
    <xf numFmtId="164" fontId="0" fillId="4" borderId="4" xfId="0" applyFont="tru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false" applyProtection="false">
      <alignment horizontal="general" vertical="bottom" textRotation="0" wrapText="false" indent="0" shrinkToFit="false"/>
      <protection locked="true" hidden="false"/>
    </xf>
    <xf numFmtId="164" fontId="0" fillId="4" borderId="4" xfId="0" applyFont="true" applyBorder="true" applyAlignment="true" applyProtection="false">
      <alignment horizontal="general" vertical="bottom" textRotation="0" wrapText="true" indent="0" shrinkToFit="false"/>
      <protection locked="true" hidden="false"/>
    </xf>
    <xf numFmtId="164" fontId="0" fillId="4" borderId="7" xfId="0" applyFont="false" applyBorder="true" applyAlignment="true" applyProtection="false">
      <alignment horizontal="right" vertical="bottom" textRotation="0" wrapText="false" indent="0" shrinkToFit="false"/>
      <protection locked="true" hidden="false"/>
    </xf>
    <xf numFmtId="164" fontId="0" fillId="4" borderId="7" xfId="0" applyFont="true" applyBorder="true" applyAlignment="true" applyProtection="false">
      <alignment horizontal="general" vertical="bottom" textRotation="0" wrapText="true" indent="0" shrinkToFit="false"/>
      <protection locked="true" hidden="false"/>
    </xf>
    <xf numFmtId="164" fontId="0" fillId="4" borderId="4" xfId="0" applyFont="false" applyBorder="true" applyAlignment="true" applyProtection="false">
      <alignment horizontal="left" vertical="bottom" textRotation="0" wrapText="true" indent="0" shrinkToFit="false"/>
      <protection locked="true" hidden="false"/>
    </xf>
    <xf numFmtId="164" fontId="0" fillId="4" borderId="4" xfId="0" applyFont="false" applyBorder="true" applyAlignment="true" applyProtection="false">
      <alignment horizontal="lef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left" vertical="bottom" textRotation="0" wrapText="false" indent="0" shrinkToFit="false"/>
      <protection locked="true" hidden="false"/>
    </xf>
    <xf numFmtId="164" fontId="6" fillId="4" borderId="7" xfId="0" applyFont="true" applyBorder="true" applyAlignment="true" applyProtection="false">
      <alignment horizontal="right" vertical="bottom" textRotation="0" wrapText="false" indent="0" shrinkToFit="false"/>
      <protection locked="true" hidden="false"/>
    </xf>
    <xf numFmtId="164" fontId="0" fillId="5" borderId="4" xfId="0" applyFont="true" applyBorder="true" applyAlignment="true" applyProtection="false">
      <alignment horizontal="left" vertical="bottom" textRotation="0" wrapText="true" indent="0" shrinkToFit="false"/>
      <protection locked="true" hidden="false"/>
    </xf>
    <xf numFmtId="164" fontId="6" fillId="0" borderId="7" xfId="0" applyFont="true" applyBorder="true" applyAlignment="true" applyProtection="false">
      <alignment horizontal="right" vertical="bottom" textRotation="0" wrapText="false" indent="0" shrinkToFit="false"/>
      <protection locked="true" hidden="false"/>
    </xf>
    <xf numFmtId="164" fontId="0" fillId="6" borderId="6" xfId="0" applyFont="tru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center"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right"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true" indent="0" shrinkToFit="false"/>
      <protection locked="true" hidden="false"/>
    </xf>
    <xf numFmtId="164" fontId="0" fillId="7" borderId="8" xfId="0" applyFont="false" applyBorder="true" applyAlignment="false" applyProtection="false">
      <alignment horizontal="general" vertical="bottom" textRotation="0" wrapText="false" indent="0" shrinkToFit="false"/>
      <protection locked="true" hidden="false"/>
    </xf>
    <xf numFmtId="164" fontId="0" fillId="7" borderId="9" xfId="0" applyFont="false" applyBorder="true" applyAlignment="false" applyProtection="false">
      <alignment horizontal="general" vertical="bottom" textRotation="0" wrapText="false" indent="0" shrinkToFit="false"/>
      <protection locked="true" hidden="false"/>
    </xf>
    <xf numFmtId="164" fontId="0" fillId="7" borderId="9" xfId="0" applyFont="false" applyBorder="true" applyAlignment="true" applyProtection="false">
      <alignment horizontal="general" vertical="bottom" textRotation="0" wrapText="true" indent="0" shrinkToFit="false"/>
      <protection locked="true" hidden="false"/>
    </xf>
    <xf numFmtId="164" fontId="0" fillId="7" borderId="9" xfId="0" applyFont="false" applyBorder="true" applyAlignment="true" applyProtection="false">
      <alignment horizontal="right" vertical="bottom" textRotation="0" wrapText="false" indent="0" shrinkToFit="false"/>
      <protection locked="true" hidden="false"/>
    </xf>
    <xf numFmtId="164" fontId="0" fillId="7" borderId="9" xfId="0" applyFont="false" applyBorder="true" applyAlignment="true" applyProtection="false">
      <alignment horizontal="left" vertical="bottom" textRotation="0" wrapText="true" indent="0" shrinkToFit="false"/>
      <protection locked="true" hidden="false"/>
    </xf>
    <xf numFmtId="164" fontId="0" fillId="7" borderId="9" xfId="0" applyFont="false" applyBorder="true" applyAlignment="true" applyProtection="false">
      <alignment horizontal="left" vertical="bottom" textRotation="0" wrapText="false" indent="0" shrinkToFit="false"/>
      <protection locked="true" hidden="false"/>
    </xf>
    <xf numFmtId="164" fontId="0" fillId="7" borderId="10" xfId="0" applyFont="false" applyBorder="true" applyAlignment="false" applyProtection="false">
      <alignment horizontal="general" vertical="bottom" textRotation="0" wrapText="false" indent="0" shrinkToFit="false"/>
      <protection locked="true" hidden="false"/>
    </xf>
    <xf numFmtId="164" fontId="0" fillId="7" borderId="4"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righ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right"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6" fontId="5" fillId="0" borderId="4"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true" indent="0" shrinkToFit="false"/>
      <protection locked="true" hidden="false"/>
    </xf>
    <xf numFmtId="165" fontId="5" fillId="0" borderId="4" xfId="0" applyFont="true" applyBorder="true" applyAlignment="false" applyProtection="false">
      <alignment horizontal="general" vertical="bottom" textRotation="0" wrapText="false" indent="0" shrinkToFit="false"/>
      <protection locked="true" hidden="false"/>
    </xf>
    <xf numFmtId="165" fontId="5" fillId="0" borderId="4" xfId="0" applyFont="true" applyBorder="true" applyAlignment="true" applyProtection="false">
      <alignment horizontal="center" vertical="bottom" textRotation="0" wrapText="false" indent="0" shrinkToFit="false"/>
      <protection locked="true" hidden="false"/>
    </xf>
    <xf numFmtId="165" fontId="5" fillId="0" borderId="4" xfId="0" applyFont="true" applyBorder="true" applyAlignment="true" applyProtection="false">
      <alignment horizontal="center" vertical="bottom" textRotation="0" wrapText="true" indent="0" shrinkToFit="false"/>
      <protection locked="true" hidden="false"/>
    </xf>
    <xf numFmtId="165" fontId="5" fillId="0" borderId="9"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center" vertical="bottom" textRotation="0" wrapText="false" indent="0" shrinkToFit="false"/>
      <protection locked="true" hidden="false"/>
    </xf>
    <xf numFmtId="166" fontId="0" fillId="0" borderId="4" xfId="0" applyFont="false" applyBorder="true" applyAlignment="false" applyProtection="false">
      <alignment horizontal="general" vertical="bottom" textRotation="0" wrapText="false" indent="0" shrinkToFit="false"/>
      <protection locked="true" hidden="false"/>
    </xf>
    <xf numFmtId="164" fontId="8" fillId="8" borderId="4" xfId="0" applyFont="true" applyBorder="true" applyAlignment="true" applyProtection="false">
      <alignment horizontal="right"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false" applyProtection="false">
      <alignment horizontal="general" vertical="bottom" textRotation="0" wrapText="false" indent="0" shrinkToFit="false"/>
      <protection locked="true" hidden="false"/>
    </xf>
    <xf numFmtId="165" fontId="0" fillId="0" borderId="7" xfId="0" applyFont="false" applyBorder="true" applyAlignment="false" applyProtection="false">
      <alignment horizontal="general" vertical="bottom" textRotation="0" wrapText="false" indent="0" shrinkToFit="false"/>
      <protection locked="true" hidden="false"/>
    </xf>
    <xf numFmtId="167" fontId="0" fillId="0" borderId="7" xfId="0" applyFont="true" applyBorder="true" applyAlignment="false" applyProtection="false">
      <alignment horizontal="general" vertical="bottom" textRotation="0" wrapText="false" indent="0" shrinkToFit="false"/>
      <protection locked="true" hidden="false"/>
    </xf>
    <xf numFmtId="167" fontId="0" fillId="0" borderId="7" xfId="0" applyFont="true" applyBorder="true" applyAlignment="true" applyProtection="false">
      <alignment horizontal="general" vertical="bottom" textRotation="0" wrapText="true" indent="0" shrinkToFit="false"/>
      <protection locked="true" hidden="false"/>
    </xf>
    <xf numFmtId="164" fontId="0" fillId="7" borderId="7" xfId="0" applyFont="true" applyBorder="true" applyAlignment="false" applyProtection="false">
      <alignment horizontal="general" vertical="bottom" textRotation="0" wrapText="false" indent="0" shrinkToFit="false"/>
      <protection locked="true" hidden="false"/>
    </xf>
    <xf numFmtId="164" fontId="9" fillId="8" borderId="4" xfId="0" applyFont="true" applyBorder="true" applyAlignment="true" applyProtection="false">
      <alignment horizontal="right" vertical="bottom" textRotation="0" wrapText="false" indent="0" shrinkToFit="false"/>
      <protection locked="true" hidden="false"/>
    </xf>
    <xf numFmtId="164" fontId="10" fillId="8" borderId="4" xfId="0" applyFont="true" applyBorder="true" applyAlignment="true" applyProtection="false">
      <alignment horizontal="right" vertical="bottom" textRotation="0" wrapText="false" indent="0" shrinkToFit="false"/>
      <protection locked="true" hidden="false"/>
    </xf>
    <xf numFmtId="164" fontId="10" fillId="0" borderId="4" xfId="0" applyFont="true" applyBorder="true" applyAlignment="true" applyProtection="false">
      <alignment horizontal="right" vertical="bottom" textRotation="0" wrapText="false" indent="0" shrinkToFit="false"/>
      <protection locked="true" hidden="false"/>
    </xf>
    <xf numFmtId="164" fontId="7" fillId="0" borderId="4"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right" vertical="bottom" textRotation="0" wrapText="false" indent="0" shrinkToFit="false"/>
      <protection locked="true" hidden="false"/>
    </xf>
    <xf numFmtId="164" fontId="10" fillId="8" borderId="0" xfId="0" applyFont="true" applyBorder="false" applyAlignment="true" applyProtection="false">
      <alignment horizontal="right" vertical="bottom" textRotation="0" wrapText="false" indent="0" shrinkToFit="false"/>
      <protection locked="true" hidden="false"/>
    </xf>
    <xf numFmtId="166" fontId="0" fillId="0" borderId="9" xfId="0" applyFont="false" applyBorder="true" applyAlignment="false" applyProtection="false">
      <alignment horizontal="general" vertical="bottom" textRotation="0" wrapText="false" indent="0" shrinkToFit="false"/>
      <protection locked="true" hidden="false"/>
    </xf>
    <xf numFmtId="164" fontId="10" fillId="0" borderId="9" xfId="0" applyFont="true" applyBorder="true" applyAlignment="true" applyProtection="false">
      <alignment horizontal="right" vertical="bottom" textRotation="0" wrapText="false" indent="0" shrinkToFit="false"/>
      <protection locked="true" hidden="false"/>
    </xf>
    <xf numFmtId="165" fontId="0" fillId="0" borderId="9" xfId="0" applyFont="false" applyBorder="true" applyAlignment="false" applyProtection="false">
      <alignment horizontal="general"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5" fontId="0" fillId="0" borderId="10" xfId="0" applyFont="fals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true" applyProtection="false">
      <alignment horizontal="general" vertical="bottom" textRotation="0" wrapText="true" indent="0" shrinkToFit="false"/>
      <protection locked="true" hidden="false"/>
    </xf>
    <xf numFmtId="164" fontId="0" fillId="9" borderId="10" xfId="0" applyFont="true" applyBorder="true" applyAlignment="false" applyProtection="false">
      <alignment horizontal="general" vertical="bottom" textRotation="0" wrapText="false" indent="0" shrinkToFit="false"/>
      <protection locked="true" hidden="false"/>
    </xf>
    <xf numFmtId="164" fontId="11" fillId="8" borderId="4" xfId="0" applyFont="true" applyBorder="true" applyAlignment="true" applyProtection="false">
      <alignment horizontal="right" vertical="bottom" textRotation="0" wrapText="false" indent="0" shrinkToFit="false"/>
      <protection locked="true" hidden="false"/>
    </xf>
    <xf numFmtId="164" fontId="12" fillId="8" borderId="4" xfId="0" applyFont="true" applyBorder="true" applyAlignment="true" applyProtection="false">
      <alignment horizontal="right" vertical="bottom" textRotation="0" wrapText="false" indent="0" shrinkToFit="false"/>
      <protection locked="true" hidden="false"/>
    </xf>
    <xf numFmtId="168" fontId="0" fillId="0" borderId="4"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0" borderId="6" xfId="0" applyFont="false" applyBorder="true" applyAlignment="true" applyProtection="false">
      <alignment horizontal="general" vertical="bottom" textRotation="0" wrapText="true" indent="0" shrinkToFit="false"/>
      <protection locked="true" hidden="false"/>
    </xf>
    <xf numFmtId="164" fontId="0" fillId="0" borderId="4" xfId="0" applyFont="false" applyBorder="true" applyAlignment="true" applyProtection="false">
      <alignment horizontal="general" vertical="bottom" textRotation="0" wrapText="true" indent="0" shrinkToFit="false"/>
      <protection locked="true" hidden="false"/>
    </xf>
    <xf numFmtId="167" fontId="0" fillId="0" borderId="4" xfId="0" applyFont="false" applyBorder="true" applyAlignment="true" applyProtection="false">
      <alignment horizontal="general" vertical="bottom" textRotation="0" wrapText="true" indent="0" shrinkToFit="false"/>
      <protection locked="true" hidden="false"/>
    </xf>
    <xf numFmtId="164" fontId="4" fillId="0" borderId="4" xfId="20" applyFont="true" applyBorder="true" applyAlignment="true" applyProtection="true">
      <alignment horizontal="general" vertical="bottom" textRotation="0" wrapText="true" indent="0" shrinkToFit="false"/>
      <protection locked="true" hidden="false"/>
    </xf>
    <xf numFmtId="164" fontId="0" fillId="0" borderId="7" xfId="0" applyFont="false" applyBorder="true" applyAlignment="true" applyProtection="false">
      <alignment horizontal="general" vertical="bottom" textRotation="0" wrapText="true" indent="0" shrinkToFit="false"/>
      <protection locked="true" hidden="false"/>
    </xf>
    <xf numFmtId="164" fontId="0" fillId="4" borderId="6" xfId="0" applyFont="false" applyBorder="true" applyAlignment="true" applyProtection="false">
      <alignment horizontal="general" vertical="bottom" textRotation="0" wrapText="true" indent="0" shrinkToFit="false"/>
      <protection locked="true" hidden="false"/>
    </xf>
    <xf numFmtId="167" fontId="0" fillId="4" borderId="4" xfId="0" applyFont="false" applyBorder="true" applyAlignment="true" applyProtection="false">
      <alignment horizontal="general" vertical="bottom" textRotation="0" wrapText="true" indent="0" shrinkToFit="false"/>
      <protection locked="true" hidden="false"/>
    </xf>
    <xf numFmtId="164" fontId="4" fillId="4" borderId="4" xfId="20" applyFont="true" applyBorder="true" applyAlignment="true" applyProtection="true">
      <alignment horizontal="general" vertical="bottom" textRotation="0" wrapText="true" indent="0" shrinkToFit="false"/>
      <protection locked="true" hidden="false"/>
    </xf>
    <xf numFmtId="164" fontId="0" fillId="4" borderId="10" xfId="0" applyFont="false" applyBorder="true" applyAlignment="true" applyProtection="false">
      <alignment horizontal="general" vertical="bottom" textRotation="0" wrapText="true" indent="0" shrinkToFit="false"/>
      <protection locked="true" hidden="false"/>
    </xf>
    <xf numFmtId="164" fontId="0" fillId="4" borderId="3" xfId="0" applyFont="true" applyBorder="true" applyAlignment="true" applyProtection="false">
      <alignment horizontal="general" vertical="bottom" textRotation="0" wrapText="true" indent="0" shrinkToFit="false"/>
      <protection locked="true" hidden="false"/>
    </xf>
    <xf numFmtId="164" fontId="0" fillId="4" borderId="9" xfId="0" applyFont="true" applyBorder="true" applyAlignment="true" applyProtection="false">
      <alignment horizontal="general" vertical="bottom" textRotation="0" wrapText="true" indent="0" shrinkToFit="false"/>
      <protection locked="true" hidden="false"/>
    </xf>
    <xf numFmtId="167" fontId="0" fillId="4" borderId="9" xfId="0" applyFont="false" applyBorder="true" applyAlignment="true" applyProtection="false">
      <alignment horizontal="general" vertical="bottom" textRotation="0" wrapText="true" indent="0" shrinkToFit="false"/>
      <protection locked="true" hidden="false"/>
    </xf>
    <xf numFmtId="164" fontId="4" fillId="4" borderId="9" xfId="20" applyFont="true" applyBorder="true" applyAlignment="true" applyProtection="true">
      <alignment horizontal="general" vertical="bottom" textRotation="0" wrapText="tru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7" fontId="0" fillId="0" borderId="9" xfId="0" applyFont="false" applyBorder="true" applyAlignment="true" applyProtection="false">
      <alignment horizontal="general" vertical="bottom" textRotation="0" wrapText="true" indent="0" shrinkToFit="false"/>
      <protection locked="true" hidden="false"/>
    </xf>
    <xf numFmtId="164" fontId="0" fillId="0" borderId="9" xfId="0" applyFont="true" applyBorder="true" applyAlignment="true" applyProtection="false">
      <alignment horizontal="general" vertical="bottom" textRotation="0" wrapText="tru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7" fontId="0" fillId="0" borderId="9" xfId="0" applyFont="false" applyBorder="true" applyAlignment="true" applyProtection="false">
      <alignment horizontal="general" vertical="bottom" textRotation="0" wrapText="true" indent="0" shrinkToFit="false"/>
      <protection locked="true" hidden="false"/>
    </xf>
    <xf numFmtId="164" fontId="0" fillId="0" borderId="9" xfId="0" applyFont="true" applyBorder="true" applyAlignment="true" applyProtection="false">
      <alignment horizontal="general" vertical="bottom" textRotation="0" wrapText="tru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7" fontId="0" fillId="0" borderId="4" xfId="0" applyFont="fals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0" fillId="10" borderId="6" xfId="0" applyFont="true" applyBorder="true" applyAlignment="true" applyProtection="false">
      <alignment horizontal="general" vertical="bottom" textRotation="0" wrapText="true" indent="0" shrinkToFit="false"/>
      <protection locked="true" hidden="false"/>
    </xf>
    <xf numFmtId="167" fontId="0" fillId="10" borderId="4" xfId="0" applyFont="true" applyBorder="true" applyAlignment="true" applyProtection="false">
      <alignment horizontal="general" vertical="bottom" textRotation="0" wrapText="true" indent="0" shrinkToFit="false"/>
      <protection locked="true" hidden="false"/>
    </xf>
    <xf numFmtId="164" fontId="0" fillId="10" borderId="4" xfId="0" applyFont="true" applyBorder="true" applyAlignment="true" applyProtection="false">
      <alignment horizontal="general" vertical="bottom" textRotation="0" wrapText="true" indent="0" shrinkToFit="false"/>
      <protection locked="true" hidden="false"/>
    </xf>
    <xf numFmtId="164" fontId="0" fillId="10" borderId="7" xfId="0" applyFont="false" applyBorder="true" applyAlignment="true" applyProtection="false">
      <alignment horizontal="general" vertical="bottom" textRotation="0" wrapText="true" indent="0" shrinkToFit="false"/>
      <protection locked="true" hidden="false"/>
    </xf>
    <xf numFmtId="164" fontId="0" fillId="10" borderId="8" xfId="0" applyFont="true" applyBorder="true" applyAlignment="true" applyProtection="false">
      <alignment horizontal="general" vertical="bottom" textRotation="0" wrapText="true" indent="0" shrinkToFit="false"/>
      <protection locked="true" hidden="false"/>
    </xf>
    <xf numFmtId="167" fontId="0" fillId="10" borderId="9" xfId="0" applyFont="false" applyBorder="true" applyAlignment="true" applyProtection="false">
      <alignment horizontal="general" vertical="bottom" textRotation="0" wrapText="true" indent="0" shrinkToFit="false"/>
      <protection locked="true" hidden="false"/>
    </xf>
    <xf numFmtId="164" fontId="0" fillId="10" borderId="9" xfId="0" applyFont="true" applyBorder="true" applyAlignment="true" applyProtection="false">
      <alignment horizontal="general" vertical="bottom" textRotation="0" wrapText="true" indent="0" shrinkToFit="false"/>
      <protection locked="true" hidden="false"/>
    </xf>
    <xf numFmtId="164" fontId="0" fillId="10" borderId="10" xfId="0" applyFont="true" applyBorder="true" applyAlignment="true" applyProtection="false">
      <alignment horizontal="general" vertical="bottom" textRotation="0" wrapText="tru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9" fontId="13" fillId="0" borderId="4" xfId="0" applyFont="true" applyBorder="true" applyAlignment="false" applyProtection="false">
      <alignment horizontal="general" vertical="bottom" textRotation="0" wrapText="false" indent="0" shrinkToFit="false"/>
      <protection locked="true" hidden="false"/>
    </xf>
    <xf numFmtId="169" fontId="0" fillId="0" borderId="4" xfId="0" applyFont="false" applyBorder="true" applyAlignment="false" applyProtection="false">
      <alignment horizontal="general"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right" vertical="bottom" textRotation="0" wrapText="false" indent="0" shrinkToFit="false"/>
      <protection locked="true" hidden="false"/>
    </xf>
    <xf numFmtId="169" fontId="0" fillId="10" borderId="4"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right" vertical="bottom" textRotation="0" wrapText="true" indent="0" shrinkToFit="false"/>
      <protection locked="true" hidden="false"/>
    </xf>
    <xf numFmtId="170" fontId="0" fillId="11" borderId="4" xfId="0" applyFont="false" applyBorder="true" applyAlignment="false" applyProtection="false">
      <alignment horizontal="general" vertical="bottom" textRotation="0" wrapText="false" indent="0" shrinkToFit="false"/>
      <protection locked="true" hidden="false"/>
    </xf>
    <xf numFmtId="164" fontId="15" fillId="0" borderId="11" xfId="0" applyFont="true" applyBorder="true" applyAlignment="true" applyProtection="false">
      <alignment horizontal="justify" vertical="bottom" textRotation="0" wrapText="false" indent="0" shrinkToFit="false"/>
      <protection locked="true" hidden="false"/>
    </xf>
    <xf numFmtId="164" fontId="15" fillId="0" borderId="12" xfId="0" applyFont="true" applyBorder="true" applyAlignment="true" applyProtection="false">
      <alignment horizontal="justify"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dxfs count="9">
    <dxf>
      <fill>
        <patternFill patternType="solid">
          <fgColor rgb="FFFFF2CC"/>
        </patternFill>
      </fill>
    </dxf>
    <dxf>
      <fill>
        <patternFill patternType="solid">
          <fgColor rgb="FFFFFF00"/>
        </patternFill>
      </fill>
    </dxf>
    <dxf>
      <fill>
        <patternFill patternType="solid">
          <fgColor rgb="00FFFFFF"/>
        </patternFill>
      </fill>
    </dxf>
    <dxf>
      <fill>
        <patternFill patternType="solid">
          <fgColor rgb="FFFFFFFF"/>
          <bgColor rgb="FF404040"/>
        </patternFill>
      </fill>
    </dxf>
    <dxf>
      <fill>
        <patternFill patternType="solid">
          <fgColor rgb="FFF8CBAD"/>
        </patternFill>
      </fill>
    </dxf>
    <dxf>
      <fill>
        <patternFill patternType="solid">
          <fgColor rgb="FFFF0000"/>
        </patternFill>
      </fill>
    </dxf>
    <dxf>
      <fill>
        <patternFill patternType="solid">
          <fgColor rgb="FF4472C4"/>
        </patternFill>
      </fill>
    </dxf>
    <dxf>
      <fill>
        <patternFill patternType="solid">
          <fgColor rgb="FFE2F0D9"/>
        </patternFill>
      </fill>
    </dxf>
    <dxf>
      <fill>
        <patternFill patternType="solid">
          <fgColor rgb="FFF4B183"/>
        </patternFill>
      </fill>
    </dxf>
  </dxf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4E5A2"/>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4B183"/>
      <rgbColor rgb="FFCC99FF"/>
      <rgbColor rgb="FFF8CBAD"/>
      <rgbColor rgb="FF4472C4"/>
      <rgbColor rgb="FF33CCCC"/>
      <rgbColor rgb="FF99CC00"/>
      <rgbColor rgb="FFFFCC00"/>
      <rgbColor rgb="FFFF9900"/>
      <rgbColor rgb="FFE87331"/>
      <rgbColor rgb="FF467886"/>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14400</xdr:colOff>
      <xdr:row>0</xdr:row>
      <xdr:rowOff>170280</xdr:rowOff>
    </xdr:from>
    <xdr:to>
      <xdr:col>20</xdr:col>
      <xdr:colOff>163440</xdr:colOff>
      <xdr:row>16</xdr:row>
      <xdr:rowOff>60840</xdr:rowOff>
    </xdr:to>
    <xdr:pic>
      <xdr:nvPicPr>
        <xdr:cNvPr id="0" name="Image 1" descr=""/>
        <xdr:cNvPicPr/>
      </xdr:nvPicPr>
      <xdr:blipFill>
        <a:blip r:embed="rId1"/>
        <a:stretch/>
      </xdr:blipFill>
      <xdr:spPr>
        <a:xfrm>
          <a:off x="12909240" y="170280"/>
          <a:ext cx="12341160" cy="5524200"/>
        </a:xfrm>
        <a:prstGeom prst="rect">
          <a:avLst/>
        </a:prstGeom>
        <a:ln w="0">
          <a:noFill/>
        </a:ln>
      </xdr:spPr>
    </xdr:pic>
    <xdr:clientData/>
  </xdr:twoCellAnchor>
</xdr:wsDr>
</file>

<file path=xl/tables/table1.xml><?xml version="1.0" encoding="utf-8"?>
<table xmlns="http://schemas.openxmlformats.org/spreadsheetml/2006/main" id="1" name="Tableau2" displayName="Tableau2" ref="A1:AE102" headerRowCount="1" totalsRowCount="1" totalsRowShown="1">
  <autoFilter ref="A1:AE102"/>
  <tableColumns count="31">
    <tableColumn id="1" name="num_casa"/>
    <tableColumn id="2" name="Nombres"/>
    <tableColumn id="3" name="Apellidos"/>
    <tableColumn id="4" name="comunidad"/>
    <tableColumn id="5" name="miembros"/>
    <tableColumn id="6" name="tipo_familia"/>
    <tableColumn id="7" name="DL"/>
    <tableColumn id="8" name="serie_DL"/>
    <tableColumn id="9" name="hab"/>
    <tableColumn id="10" name="ingreso_mensual"/>
    <tableColumn id="11" name="latitud"/>
    <tableColumn id="12" name="longitud"/>
    <tableColumn id="13" name="Nov 2023 (CUIE)"/>
    <tableColumn id="14" name="ENE 2024 (Ener)"/>
    <tableColumn id="15" name="May 2024 (CUIE)"/>
    <tableColumn id="16" name="Nov 2024 (CUIE)"/>
    <tableColumn id="17" name="Ene 2025 (CUIE)"/>
    <tableColumn id="18" name="# VISITAS CUIE"/>
    <tableColumn id="19" name="Encuesta socio-demográfica"/>
    <tableColumn id="20" name="Encuesta uso"/>
    <tableColumn id="21" name="Entrevista"/>
    <tableColumn id="22" name="Obs nov 2023"/>
    <tableColumn id="23" name="Observaciones enero 2024"/>
    <tableColumn id="24" name="Observaciones mayo 2024"/>
    <tableColumn id="25" name="Observaciones nov 2024"/>
    <tableColumn id="26" name="Componentes reemplazados nov 2024"/>
    <tableColumn id="27" name="Reparaciones 2024"/>
    <tableColumn id="28" name="Visitas y observaciones ENE 2025"/>
    <tableColumn id="29" name="DL Tycon enero 2025"/>
    <tableColumn id="30" name="Observaciones octubre 2025"/>
    <tableColumn id="31" name="DL Tycon octubre 20252"/>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hyperlink" Target="https://mseduculiegebe-my.sharepoint.com/:x:/r/personal/clsanchez_uliege_be/Documents/PhD/data/data_raqaypampa/encuestas/feb2023/cuestionario_entrega.xlsx?d=wacf58d35022a4810ad32ba7b6bb2ab8a&amp;csf=1&amp;web=1&amp;e=2whdyc" TargetMode="External"/><Relationship Id="rId2" Type="http://schemas.openxmlformats.org/officeDocument/2006/relationships/hyperlink" Target="https://mseduculiegebe-my.sharepoint.com/:x:/r/personal/clsanchez_uliege_be/Documents/PhD/data/data_raqaypampa/encuestas/feb2023/encuesta_feb2023.xlsx?d=web36c7b86d6a48f58cd122e1cc84c9f6&amp;csf=1&amp;web=1&amp;e=eeuEKT" TargetMode="External"/><Relationship Id="rId3" Type="http://schemas.openxmlformats.org/officeDocument/2006/relationships/hyperlink" Target="https://mseduculiegebe-my.sharepoint.com/:w:/r/personal/clsanchez_uliege_be/Documents/PhD/viajes/trabajo_de_campo_nov2023/documentos_nov2023/encuesta_hogares_nov2023_final.docx?d=w315a6cd507054cf9a01e2e93e5d72588&amp;csf=1&amp;web=1&amp;e=RphGb1" TargetMode="External"/><Relationship Id="rId4" Type="http://schemas.openxmlformats.org/officeDocument/2006/relationships/hyperlink" Target="https://mseduculiegebe-my.sharepoint.com/:f:/r/personal/clsanchez_uliege_be/Documents/PhD/data/data_raqaypampa/dataloggers?csf=1&amp;web=1&amp;e=YUZNi0" TargetMode="External"/><Relationship Id="rId5" Type="http://schemas.openxmlformats.org/officeDocument/2006/relationships/hyperlink" Target="https://mseduculiegebe-my.sharepoint.com/:w:/r/personal/clsanchez_uliege_be/Documents/PhD/viajes/trabajo_de_campo_nov2023/documentos_nov2023/ficha_inspeccion_paneles.docx?d=w69ca9a9dc15c4a4a9062d2600e378c61&amp;csf=1&amp;web=1&amp;e=biDsTh" TargetMode="External"/><Relationship Id="rId6" Type="http://schemas.openxmlformats.org/officeDocument/2006/relationships/hyperlink" Target="https://mseduculiegebe-my.sharepoint.com/:f:/r/personal/clsanchez_uliege_be/Documents/PhD/data/data_raqaypampa/dataloggers?csf=1&amp;web=1&amp;e=YUZNi0" TargetMode="External"/><Relationship Id="rId7" Type="http://schemas.openxmlformats.org/officeDocument/2006/relationships/hyperlink" Target="https://mseduculiegebe-my.sharepoint.com/:f:/r/personal/clsanchez_uliege_be/Documents/PhD/data/data_raqaypampa/dataloggers?csf=1&amp;web=1&amp;e=YUZNi0" TargetMode="External"/><Relationship Id="rId8" Type="http://schemas.openxmlformats.org/officeDocument/2006/relationships/hyperlink" Target="https://mseduculiegebe-my.sharepoint.com/:f:/r/personal/clsanchez_uliege_be/Documents/PhD/data/data_raqaypampa/dataloggers?csf=1&amp;web=1&amp;e=YUZNi0" TargetMode="External"/><Relationship Id="rId9" Type="http://schemas.openxmlformats.org/officeDocument/2006/relationships/hyperlink" Target="https://mseduculiegebe-my.sharepoint.com/:f:/r/personal/clsanchez_uliege_be/Documents/PhD/data/data_raqaypampa/dataloggers?csf=1&amp;web=1&amp;e=YUZNi0" TargetMode="External"/><Relationship Id="rId10" Type="http://schemas.openxmlformats.org/officeDocument/2006/relationships/hyperlink" Target="https://mseduculiegebe-my.sharepoint.com/:w:/r/personal/clsanchez_uliege_be/Documents/PhD/viajes/trabajo_de_campo_mayo2024/encuesta_hogares_may2024_final.docx?d=w41e157958acc449cbb01556a91485920&amp;csf=1&amp;web=1&amp;e=8QFTsU" TargetMode="External"/><Relationship Id="rId11" Type="http://schemas.openxmlformats.org/officeDocument/2006/relationships/hyperlink" Target="https://mseduculiegebe-my.sharepoint.com/:f:/r/personal/clsanchez_uliege_be/Documents/PhD/data/data_raqaypampa/dataloggers?csf=1&amp;web=1&amp;e=YUZNi0" TargetMode="External"/><Relationship Id="rId12" Type="http://schemas.openxmlformats.org/officeDocument/2006/relationships/hyperlink" Target="https://mseduculiegebe-my.sharepoint.com/:w:/r/personal/clsanchez_uliege_be/Documents/PhD/data/data_raqaypampa/entrevistas/guias/entrevista.docx?d=waaa0bc45f9af4d00a601d498de6274df&amp;csf=1&amp;web=1&amp;e=je25Uu" TargetMode="External"/><Relationship Id="rId13" Type="http://schemas.openxmlformats.org/officeDocument/2006/relationships/hyperlink" Target="https://mseduculiegebe-my.sharepoint.com/:f:/r/personal/clsanchez_uliege_be/Documents/PhD/data/data_raqaypampa/dataloggers?csf=1&amp;web=1&amp;e=YUZNi0" TargetMode="External"/><Relationship Id="rId14" Type="http://schemas.openxmlformats.org/officeDocument/2006/relationships/hyperlink" Target="https://mseduculiegebe-my.sharepoint.com/:f:/r/personal/clsanchez_uliege_be/Documents/PhD/data/data_raqaypampa/dataloggers/datos_raq_mayo2024?csf=1&amp;web=1&amp;e=EkL28M"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E111"/>
  <sheetViews>
    <sheetView showFormulas="false" showGridLines="true" showRowColHeaders="true" showZeros="true" rightToLeft="false" tabSelected="false" showOutlineSymbols="true" defaultGridColor="true" view="normal" topLeftCell="S1" colorId="64" zoomScale="100" zoomScaleNormal="100" zoomScalePageLayoutView="100" workbookViewId="0">
      <selection pane="topLeft" activeCell="A112" activeCellId="0" sqref="A112"/>
    </sheetView>
  </sheetViews>
  <sheetFormatPr defaultColWidth="8.5390625" defaultRowHeight="15" zeroHeight="false" outlineLevelRow="0" outlineLevelCol="0"/>
  <cols>
    <col collapsed="false" customWidth="true" hidden="false" outlineLevel="0" max="1" min="1" style="0" width="12.43"/>
    <col collapsed="false" customWidth="true" hidden="false" outlineLevel="0" max="2" min="2" style="0" width="13"/>
    <col collapsed="false" customWidth="true" hidden="false" outlineLevel="0" max="3" min="3" style="0" width="18.28"/>
    <col collapsed="false" customWidth="true" hidden="false" outlineLevel="0" max="4" min="4" style="0" width="14.57"/>
    <col collapsed="false" customWidth="true" hidden="false" outlineLevel="0" max="5" min="5" style="0" width="10"/>
    <col collapsed="false" customWidth="true" hidden="false" outlineLevel="0" max="6" min="6" style="1" width="15"/>
    <col collapsed="false" customWidth="true" hidden="false" outlineLevel="0" max="7" min="7" style="0" width="5.43"/>
    <col collapsed="false" customWidth="true" hidden="false" outlineLevel="0" max="8" min="8" style="2" width="10.57"/>
    <col collapsed="false" customWidth="true" hidden="false" outlineLevel="0" max="9" min="9" style="0" width="7"/>
    <col collapsed="false" customWidth="true" hidden="false" outlineLevel="0" max="10" min="10" style="0" width="18.71"/>
    <col collapsed="false" customWidth="true" hidden="false" outlineLevel="0" max="11" min="11" style="0" width="14.85"/>
    <col collapsed="false" customWidth="true" hidden="false" outlineLevel="0" max="12" min="12" style="0" width="14.57"/>
    <col collapsed="false" customWidth="true" hidden="false" outlineLevel="0" max="13" min="13" style="1" width="6.71"/>
    <col collapsed="false" customWidth="true" hidden="false" outlineLevel="0" max="14" min="14" style="0" width="7.43"/>
    <col collapsed="false" customWidth="true" hidden="false" outlineLevel="0" max="17" min="16" style="0" width="8.71"/>
    <col collapsed="false" customWidth="true" hidden="false" outlineLevel="0" max="18" min="18" style="0" width="6.57"/>
    <col collapsed="false" customWidth="true" hidden="false" outlineLevel="0" max="21" min="19" style="0" width="18.14"/>
    <col collapsed="false" customWidth="true" hidden="false" outlineLevel="0" max="22" min="22" style="0" width="46.28"/>
    <col collapsed="false" customWidth="true" hidden="false" outlineLevel="0" max="23" min="23" style="0" width="34.71"/>
    <col collapsed="false" customWidth="true" hidden="false" outlineLevel="0" max="24" min="24" style="3" width="20.14"/>
    <col collapsed="false" customWidth="true" hidden="false" outlineLevel="0" max="25" min="25" style="4" width="28"/>
    <col collapsed="false" customWidth="true" hidden="false" outlineLevel="0" max="26" min="26" style="0" width="17.57"/>
    <col collapsed="false" customWidth="true" hidden="true" outlineLevel="0" max="27" min="27" style="0" width="24.43"/>
    <col collapsed="false" customWidth="true" hidden="false" outlineLevel="0" max="28" min="28" style="0" width="39.28"/>
    <col collapsed="false" customWidth="true" hidden="false" outlineLevel="0" max="29" min="29" style="0" width="11.85"/>
    <col collapsed="false" customWidth="true" hidden="false" outlineLevel="0" max="30" min="30" style="0" width="46"/>
    <col collapsed="false" customWidth="true" hidden="false" outlineLevel="0" max="31" min="31" style="0" width="11.14"/>
  </cols>
  <sheetData>
    <row r="1" customFormat="false" ht="45.75" hidden="false" customHeight="false" outlineLevel="0" collapsed="false">
      <c r="A1" s="5" t="s">
        <v>0</v>
      </c>
      <c r="B1" s="6" t="s">
        <v>1</v>
      </c>
      <c r="C1" s="6" t="s">
        <v>2</v>
      </c>
      <c r="D1" s="6" t="s">
        <v>3</v>
      </c>
      <c r="E1" s="7" t="s">
        <v>4</v>
      </c>
      <c r="F1" s="8" t="s">
        <v>5</v>
      </c>
      <c r="G1" s="5" t="s">
        <v>6</v>
      </c>
      <c r="H1" s="9" t="s">
        <v>7</v>
      </c>
      <c r="I1" s="10" t="s">
        <v>8</v>
      </c>
      <c r="J1" s="10" t="s">
        <v>9</v>
      </c>
      <c r="K1" s="5" t="s">
        <v>10</v>
      </c>
      <c r="L1" s="6" t="s">
        <v>11</v>
      </c>
      <c r="M1" s="11" t="s">
        <v>12</v>
      </c>
      <c r="N1" s="12" t="s">
        <v>13</v>
      </c>
      <c r="O1" s="12" t="s">
        <v>14</v>
      </c>
      <c r="P1" s="13" t="s">
        <v>15</v>
      </c>
      <c r="Q1" s="13" t="s">
        <v>16</v>
      </c>
      <c r="R1" s="13" t="s">
        <v>17</v>
      </c>
      <c r="S1" s="13" t="s">
        <v>18</v>
      </c>
      <c r="T1" s="13" t="s">
        <v>19</v>
      </c>
      <c r="U1" s="13" t="s">
        <v>20</v>
      </c>
      <c r="V1" s="13" t="s">
        <v>21</v>
      </c>
      <c r="W1" s="14" t="s">
        <v>22</v>
      </c>
      <c r="X1" s="15" t="s">
        <v>23</v>
      </c>
      <c r="Y1" s="16" t="s">
        <v>24</v>
      </c>
      <c r="Z1" s="17" t="s">
        <v>25</v>
      </c>
      <c r="AA1" s="18" t="s">
        <v>26</v>
      </c>
      <c r="AB1" s="18" t="s">
        <v>27</v>
      </c>
      <c r="AC1" s="17" t="s">
        <v>28</v>
      </c>
      <c r="AD1" s="18" t="s">
        <v>29</v>
      </c>
      <c r="AE1" s="17" t="s">
        <v>30</v>
      </c>
    </row>
    <row r="2" customFormat="false" ht="91.5" hidden="false" customHeight="false" outlineLevel="0" collapsed="false">
      <c r="A2" s="19" t="n">
        <v>90</v>
      </c>
      <c r="B2" s="10" t="s">
        <v>31</v>
      </c>
      <c r="C2" s="10" t="s">
        <v>32</v>
      </c>
      <c r="D2" s="10" t="s">
        <v>33</v>
      </c>
      <c r="E2" s="20" t="n">
        <v>4</v>
      </c>
      <c r="F2" s="8" t="s">
        <v>34</v>
      </c>
      <c r="G2" s="19" t="s">
        <v>35</v>
      </c>
      <c r="H2" s="21" t="n">
        <v>0</v>
      </c>
      <c r="I2" s="10" t="n">
        <v>2</v>
      </c>
      <c r="J2" s="10" t="n">
        <v>100</v>
      </c>
      <c r="K2" s="19" t="n">
        <v>-18.1389579</v>
      </c>
      <c r="L2" s="10" t="n">
        <v>-65.5039357</v>
      </c>
      <c r="M2" s="8" t="n">
        <v>0</v>
      </c>
      <c r="N2" s="20" t="n">
        <v>1</v>
      </c>
      <c r="O2" s="20" t="n">
        <v>1</v>
      </c>
      <c r="P2" s="20" t="n">
        <v>1</v>
      </c>
      <c r="Q2" s="20" t="n">
        <v>0</v>
      </c>
      <c r="R2" s="20" t="n">
        <f aca="false">Tableau2[[#This Row],[Nov 2023 (CUIE)]]+Tableau2[[#This Row],[ENE 2024 (Ener)]]+Tableau2[[#This Row],[May 2024 (CUIE)]]+Tableau2[[#This Row],[Nov 2024 (CUIE)]]+Tableau2[[#This Row],[Ene 2025 (CUIE)]]</f>
        <v>3</v>
      </c>
      <c r="S2" s="20" t="n">
        <v>1</v>
      </c>
      <c r="T2" s="20" t="n">
        <v>1</v>
      </c>
      <c r="U2" s="20" t="n">
        <v>1</v>
      </c>
      <c r="V2" s="20"/>
      <c r="W2" s="22" t="s">
        <v>36</v>
      </c>
      <c r="X2" s="23" t="s">
        <v>37</v>
      </c>
      <c r="Y2" s="23" t="s">
        <v>38</v>
      </c>
      <c r="Z2" s="10" t="s">
        <v>39</v>
      </c>
      <c r="AA2" s="20"/>
      <c r="AB2" s="10"/>
      <c r="AC2" s="10" t="n">
        <v>0</v>
      </c>
      <c r="AD2" s="24"/>
      <c r="AE2" s="24" t="n">
        <v>0</v>
      </c>
    </row>
    <row r="3" s="33" customFormat="true" ht="15" hidden="false" customHeight="false" outlineLevel="0" collapsed="false">
      <c r="A3" s="25" t="n">
        <v>1</v>
      </c>
      <c r="B3" s="26" t="s">
        <v>40</v>
      </c>
      <c r="C3" s="27" t="s">
        <v>41</v>
      </c>
      <c r="D3" s="27" t="s">
        <v>42</v>
      </c>
      <c r="E3" s="28" t="s">
        <v>43</v>
      </c>
      <c r="F3" s="29" t="s">
        <v>43</v>
      </c>
      <c r="G3" s="25" t="s">
        <v>35</v>
      </c>
      <c r="H3" s="30" t="n">
        <v>0</v>
      </c>
      <c r="I3" s="27" t="s">
        <v>43</v>
      </c>
      <c r="J3" s="27" t="s">
        <v>43</v>
      </c>
      <c r="K3" s="25" t="n">
        <v>-18.1578506</v>
      </c>
      <c r="L3" s="27" t="n">
        <v>-65.4542651</v>
      </c>
      <c r="M3" s="29" t="n">
        <v>0</v>
      </c>
      <c r="N3" s="28" t="n">
        <v>0</v>
      </c>
      <c r="O3" s="28" t="n">
        <v>0</v>
      </c>
      <c r="P3" s="28" t="n">
        <v>0</v>
      </c>
      <c r="Q3" s="28" t="n">
        <v>1</v>
      </c>
      <c r="R3" s="20" t="n">
        <f aca="false">Tableau2[[#This Row],[Nov 2023 (CUIE)]]+Tableau2[[#This Row],[ENE 2024 (Ener)]]+Tableau2[[#This Row],[May 2024 (CUIE)]]+Tableau2[[#This Row],[Nov 2024 (CUIE)]]+Tableau2[[#This Row],[Ene 2025 (CUIE)]]</f>
        <v>1</v>
      </c>
      <c r="S3" s="20" t="n">
        <v>1</v>
      </c>
      <c r="T3" s="20" t="n">
        <v>0</v>
      </c>
      <c r="U3" s="20" t="n">
        <v>0</v>
      </c>
      <c r="V3" s="28"/>
      <c r="W3" s="28"/>
      <c r="X3" s="31" t="n">
        <v>0</v>
      </c>
      <c r="Y3" s="32" t="n">
        <v>0</v>
      </c>
      <c r="Z3" s="27"/>
      <c r="AA3" s="28"/>
      <c r="AB3" s="27" t="s">
        <v>44</v>
      </c>
      <c r="AC3" s="27" t="n">
        <v>0</v>
      </c>
      <c r="AD3" s="27"/>
      <c r="AE3" s="27" t="n">
        <v>0</v>
      </c>
    </row>
    <row r="4" s="33" customFormat="true" ht="45.75" hidden="false" customHeight="false" outlineLevel="0" collapsed="false">
      <c r="A4" s="25" t="n">
        <v>2</v>
      </c>
      <c r="B4" s="27" t="s">
        <v>45</v>
      </c>
      <c r="C4" s="27" t="s">
        <v>46</v>
      </c>
      <c r="D4" s="27" t="s">
        <v>42</v>
      </c>
      <c r="E4" s="28" t="n">
        <v>4</v>
      </c>
      <c r="F4" s="29" t="s">
        <v>47</v>
      </c>
      <c r="G4" s="25" t="s">
        <v>35</v>
      </c>
      <c r="H4" s="30" t="n">
        <v>0</v>
      </c>
      <c r="I4" s="27" t="n">
        <v>3</v>
      </c>
      <c r="J4" s="27" t="n">
        <v>0</v>
      </c>
      <c r="K4" s="25" t="n">
        <v>-18.1553154</v>
      </c>
      <c r="L4" s="27" t="n">
        <v>-65.4618266</v>
      </c>
      <c r="M4" s="29" t="n">
        <v>0</v>
      </c>
      <c r="N4" s="28" t="n">
        <v>1</v>
      </c>
      <c r="O4" s="28" t="n">
        <v>0</v>
      </c>
      <c r="P4" s="28" t="n">
        <v>0</v>
      </c>
      <c r="Q4" s="28" t="n">
        <v>0</v>
      </c>
      <c r="R4" s="20" t="n">
        <f aca="false">Tableau2[[#This Row],[Nov 2023 (CUIE)]]+Tableau2[[#This Row],[ENE 2024 (Ener)]]+Tableau2[[#This Row],[May 2024 (CUIE)]]+Tableau2[[#This Row],[Nov 2024 (CUIE)]]+Tableau2[[#This Row],[Ene 2025 (CUIE)]]</f>
        <v>1</v>
      </c>
      <c r="S4" s="20" t="n">
        <v>1</v>
      </c>
      <c r="T4" s="20" t="n">
        <v>0</v>
      </c>
      <c r="U4" s="20" t="n">
        <v>0</v>
      </c>
      <c r="V4" s="28"/>
      <c r="W4" s="34" t="s">
        <v>48</v>
      </c>
      <c r="X4" s="31" t="n">
        <v>0</v>
      </c>
      <c r="Y4" s="32" t="n">
        <v>0</v>
      </c>
      <c r="Z4" s="27"/>
      <c r="AA4" s="28"/>
      <c r="AB4" s="27"/>
      <c r="AC4" s="27" t="n">
        <v>0</v>
      </c>
      <c r="AD4" s="27"/>
      <c r="AE4" s="27" t="n">
        <v>0</v>
      </c>
    </row>
    <row r="5" customFormat="false" ht="60.75" hidden="false" customHeight="false" outlineLevel="0" collapsed="false">
      <c r="A5" s="19" t="n">
        <v>58</v>
      </c>
      <c r="B5" s="10" t="s">
        <v>49</v>
      </c>
      <c r="C5" s="10" t="s">
        <v>50</v>
      </c>
      <c r="D5" s="10" t="s">
        <v>51</v>
      </c>
      <c r="E5" s="20" t="n">
        <v>3</v>
      </c>
      <c r="F5" s="8" t="s">
        <v>52</v>
      </c>
      <c r="G5" s="19" t="s">
        <v>35</v>
      </c>
      <c r="H5" s="21" t="n">
        <v>0</v>
      </c>
      <c r="I5" s="10" t="n">
        <v>2</v>
      </c>
      <c r="J5" s="10" t="n">
        <v>1100</v>
      </c>
      <c r="K5" s="19" t="n">
        <v>-18.2414639</v>
      </c>
      <c r="L5" s="10" t="n">
        <v>-65.3409812</v>
      </c>
      <c r="M5" s="8" t="n">
        <v>1</v>
      </c>
      <c r="N5" s="20" t="n">
        <v>1</v>
      </c>
      <c r="O5" s="20" t="n">
        <v>0</v>
      </c>
      <c r="P5" s="20" t="n">
        <v>1</v>
      </c>
      <c r="Q5" s="20" t="n">
        <v>1</v>
      </c>
      <c r="R5" s="20" t="n">
        <f aca="false">Tableau2[[#This Row],[Nov 2023 (CUIE)]]+Tableau2[[#This Row],[ENE 2024 (Ener)]]+Tableau2[[#This Row],[May 2024 (CUIE)]]+Tableau2[[#This Row],[Nov 2024 (CUIE)]]+Tableau2[[#This Row],[Ene 2025 (CUIE)]]</f>
        <v>4</v>
      </c>
      <c r="S5" s="20" t="n">
        <v>1</v>
      </c>
      <c r="T5" s="20" t="n">
        <v>1</v>
      </c>
      <c r="U5" s="20" t="n">
        <v>1</v>
      </c>
      <c r="V5" s="20"/>
      <c r="W5" s="20" t="s">
        <v>53</v>
      </c>
      <c r="X5" s="23" t="s">
        <v>37</v>
      </c>
      <c r="Y5" s="35" t="s">
        <v>54</v>
      </c>
      <c r="Z5" s="10" t="s">
        <v>55</v>
      </c>
      <c r="AA5" s="20"/>
      <c r="AB5" s="8" t="s">
        <v>56</v>
      </c>
      <c r="AC5" s="10" t="n">
        <v>0</v>
      </c>
      <c r="AD5" s="10"/>
      <c r="AE5" s="10" t="n">
        <v>0</v>
      </c>
    </row>
    <row r="6" s="33" customFormat="true" ht="30.75" hidden="false" customHeight="false" outlineLevel="0" collapsed="false">
      <c r="A6" s="25" t="n">
        <v>46</v>
      </c>
      <c r="B6" s="27" t="s">
        <v>57</v>
      </c>
      <c r="C6" s="27" t="s">
        <v>58</v>
      </c>
      <c r="D6" s="27" t="s">
        <v>59</v>
      </c>
      <c r="E6" s="28" t="n">
        <v>9</v>
      </c>
      <c r="F6" s="29" t="s">
        <v>60</v>
      </c>
      <c r="G6" s="25" t="s">
        <v>61</v>
      </c>
      <c r="H6" s="30" t="s">
        <v>62</v>
      </c>
      <c r="I6" s="27" t="n">
        <v>4</v>
      </c>
      <c r="J6" s="27" t="n">
        <v>300</v>
      </c>
      <c r="K6" s="25" t="n">
        <v>-18.1367774</v>
      </c>
      <c r="L6" s="27" t="n">
        <v>-65.4638351</v>
      </c>
      <c r="M6" s="29" t="n">
        <v>0</v>
      </c>
      <c r="N6" s="28" t="n">
        <v>0</v>
      </c>
      <c r="O6" s="28" t="n">
        <v>0</v>
      </c>
      <c r="P6" s="28" t="n">
        <v>0</v>
      </c>
      <c r="Q6" s="28" t="n">
        <v>0</v>
      </c>
      <c r="R6" s="20" t="n">
        <f aca="false">Tableau2[[#This Row],[Nov 2023 (CUIE)]]+Tableau2[[#This Row],[ENE 2024 (Ener)]]+Tableau2[[#This Row],[May 2024 (CUIE)]]+Tableau2[[#This Row],[Nov 2024 (CUIE)]]+Tableau2[[#This Row],[Ene 2025 (CUIE)]]</f>
        <v>0</v>
      </c>
      <c r="S6" s="20" t="n">
        <v>1</v>
      </c>
      <c r="T6" s="20" t="n">
        <v>0</v>
      </c>
      <c r="U6" s="20" t="n">
        <v>0</v>
      </c>
      <c r="V6" s="28"/>
      <c r="W6" s="28"/>
      <c r="X6" s="31" t="n">
        <v>0</v>
      </c>
      <c r="Y6" s="32" t="n">
        <v>0</v>
      </c>
      <c r="Z6" s="27"/>
      <c r="AA6" s="28"/>
      <c r="AB6" s="27"/>
      <c r="AC6" s="27" t="n">
        <v>0</v>
      </c>
      <c r="AD6" s="27"/>
      <c r="AE6" s="27" t="n">
        <v>0</v>
      </c>
    </row>
    <row r="7" s="33" customFormat="true" ht="30.75" hidden="false" customHeight="false" outlineLevel="0" collapsed="false">
      <c r="A7" s="25" t="n">
        <v>3</v>
      </c>
      <c r="B7" s="27" t="s">
        <v>63</v>
      </c>
      <c r="C7" s="27" t="s">
        <v>64</v>
      </c>
      <c r="D7" s="27" t="s">
        <v>42</v>
      </c>
      <c r="E7" s="28" t="n">
        <v>4</v>
      </c>
      <c r="F7" s="29" t="s">
        <v>65</v>
      </c>
      <c r="G7" s="25" t="s">
        <v>35</v>
      </c>
      <c r="H7" s="30" t="n">
        <v>0</v>
      </c>
      <c r="I7" s="27" t="n">
        <v>3</v>
      </c>
      <c r="J7" s="27" t="n">
        <v>100</v>
      </c>
      <c r="K7" s="25" t="n">
        <v>-18.1826336</v>
      </c>
      <c r="L7" s="27" t="n">
        <v>-65.4672529</v>
      </c>
      <c r="M7" s="29" t="n">
        <v>0</v>
      </c>
      <c r="N7" s="28" t="n">
        <v>0</v>
      </c>
      <c r="O7" s="28" t="n">
        <v>0</v>
      </c>
      <c r="P7" s="28" t="n">
        <v>0</v>
      </c>
      <c r="Q7" s="28" t="n">
        <v>0</v>
      </c>
      <c r="R7" s="20" t="n">
        <f aca="false">Tableau2[[#This Row],[Nov 2023 (CUIE)]]+Tableau2[[#This Row],[ENE 2024 (Ener)]]+Tableau2[[#This Row],[May 2024 (CUIE)]]+Tableau2[[#This Row],[Nov 2024 (CUIE)]]+Tableau2[[#This Row],[Ene 2025 (CUIE)]]</f>
        <v>0</v>
      </c>
      <c r="S7" s="20" t="n">
        <v>1</v>
      </c>
      <c r="T7" s="20" t="n">
        <v>0</v>
      </c>
      <c r="U7" s="20" t="n">
        <v>0</v>
      </c>
      <c r="V7" s="28"/>
      <c r="W7" s="28"/>
      <c r="X7" s="31" t="n">
        <v>0</v>
      </c>
      <c r="Y7" s="32" t="n">
        <v>0</v>
      </c>
      <c r="Z7" s="27"/>
      <c r="AA7" s="28"/>
      <c r="AB7" s="27"/>
      <c r="AC7" s="27" t="n">
        <v>0</v>
      </c>
      <c r="AD7" s="27"/>
      <c r="AE7" s="27" t="n">
        <v>0</v>
      </c>
    </row>
    <row r="8" s="33" customFormat="true" ht="30.75" hidden="false" customHeight="false" outlineLevel="0" collapsed="false">
      <c r="A8" s="25" t="n">
        <v>59</v>
      </c>
      <c r="B8" s="27" t="s">
        <v>66</v>
      </c>
      <c r="C8" s="27" t="s">
        <v>67</v>
      </c>
      <c r="D8" s="27" t="s">
        <v>51</v>
      </c>
      <c r="E8" s="28" t="n">
        <v>12</v>
      </c>
      <c r="F8" s="29" t="s">
        <v>60</v>
      </c>
      <c r="G8" s="25" t="s">
        <v>35</v>
      </c>
      <c r="H8" s="30" t="n">
        <v>0</v>
      </c>
      <c r="I8" s="27" t="n">
        <v>4</v>
      </c>
      <c r="J8" s="27" t="n">
        <v>300</v>
      </c>
      <c r="K8" s="25" t="n">
        <v>-18.2459715</v>
      </c>
      <c r="L8" s="27" t="n">
        <v>-65.355226</v>
      </c>
      <c r="M8" s="29" t="n">
        <v>0</v>
      </c>
      <c r="N8" s="28" t="n">
        <v>0</v>
      </c>
      <c r="O8" s="28" t="n">
        <v>0</v>
      </c>
      <c r="P8" s="28" t="n">
        <v>0</v>
      </c>
      <c r="Q8" s="28" t="n">
        <v>0</v>
      </c>
      <c r="R8" s="20" t="n">
        <f aca="false">Tableau2[[#This Row],[Nov 2023 (CUIE)]]+Tableau2[[#This Row],[ENE 2024 (Ener)]]+Tableau2[[#This Row],[May 2024 (CUIE)]]+Tableau2[[#This Row],[Nov 2024 (CUIE)]]+Tableau2[[#This Row],[Ene 2025 (CUIE)]]</f>
        <v>0</v>
      </c>
      <c r="S8" s="20" t="n">
        <v>1</v>
      </c>
      <c r="T8" s="20" t="n">
        <v>0</v>
      </c>
      <c r="U8" s="20" t="n">
        <v>0</v>
      </c>
      <c r="V8" s="28"/>
      <c r="W8" s="28"/>
      <c r="X8" s="31" t="n">
        <v>0</v>
      </c>
      <c r="Y8" s="32" t="n">
        <v>0</v>
      </c>
      <c r="Z8" s="27"/>
      <c r="AA8" s="28"/>
      <c r="AB8" s="27"/>
      <c r="AC8" s="27" t="n">
        <v>0</v>
      </c>
      <c r="AD8" s="27"/>
      <c r="AE8" s="27" t="n">
        <v>0</v>
      </c>
    </row>
    <row r="9" customFormat="false" ht="106.5" hidden="false" customHeight="false" outlineLevel="0" collapsed="false">
      <c r="A9" s="19" t="n">
        <v>4</v>
      </c>
      <c r="B9" s="10" t="s">
        <v>68</v>
      </c>
      <c r="C9" s="10" t="s">
        <v>69</v>
      </c>
      <c r="D9" s="10" t="s">
        <v>42</v>
      </c>
      <c r="E9" s="20" t="n">
        <v>6</v>
      </c>
      <c r="F9" s="8" t="s">
        <v>47</v>
      </c>
      <c r="G9" s="19" t="s">
        <v>35</v>
      </c>
      <c r="H9" s="21" t="n">
        <v>0</v>
      </c>
      <c r="I9" s="10" t="n">
        <v>4</v>
      </c>
      <c r="J9" s="10" t="n">
        <v>300</v>
      </c>
      <c r="K9" s="19" t="n">
        <v>-18.1495775</v>
      </c>
      <c r="L9" s="10" t="n">
        <v>-65.4745865</v>
      </c>
      <c r="M9" s="8" t="n">
        <v>1</v>
      </c>
      <c r="N9" s="20" t="n">
        <v>1</v>
      </c>
      <c r="O9" s="20" t="n">
        <v>1</v>
      </c>
      <c r="P9" s="20" t="n">
        <v>1</v>
      </c>
      <c r="Q9" s="20" t="n">
        <v>0</v>
      </c>
      <c r="R9" s="20" t="n">
        <f aca="false">Tableau2[[#This Row],[Nov 2023 (CUIE)]]+Tableau2[[#This Row],[ENE 2024 (Ener)]]+Tableau2[[#This Row],[May 2024 (CUIE)]]+Tableau2[[#This Row],[Nov 2024 (CUIE)]]+Tableau2[[#This Row],[Ene 2025 (CUIE)]]</f>
        <v>4</v>
      </c>
      <c r="S9" s="20" t="n">
        <v>1</v>
      </c>
      <c r="T9" s="36" t="n">
        <v>1</v>
      </c>
      <c r="U9" s="20" t="n">
        <v>1</v>
      </c>
      <c r="V9" s="22" t="s">
        <v>70</v>
      </c>
      <c r="W9" s="20" t="s">
        <v>71</v>
      </c>
      <c r="X9" s="23" t="s">
        <v>72</v>
      </c>
      <c r="Y9" s="23" t="s">
        <v>73</v>
      </c>
      <c r="Z9" s="10"/>
      <c r="AA9" s="20"/>
      <c r="AB9" s="10"/>
      <c r="AC9" s="10" t="n">
        <v>0</v>
      </c>
      <c r="AD9" s="8" t="s">
        <v>74</v>
      </c>
      <c r="AE9" s="10" t="n">
        <v>0</v>
      </c>
    </row>
    <row r="10" s="33" customFormat="true" ht="45.75" hidden="false" customHeight="false" outlineLevel="0" collapsed="false">
      <c r="A10" s="25" t="n">
        <v>5</v>
      </c>
      <c r="B10" s="27" t="s">
        <v>68</v>
      </c>
      <c r="C10" s="27" t="s">
        <v>75</v>
      </c>
      <c r="D10" s="27" t="s">
        <v>42</v>
      </c>
      <c r="E10" s="28" t="n">
        <v>8</v>
      </c>
      <c r="F10" s="29" t="s">
        <v>76</v>
      </c>
      <c r="G10" s="25" t="s">
        <v>35</v>
      </c>
      <c r="H10" s="30" t="n">
        <v>0</v>
      </c>
      <c r="I10" s="27" t="n">
        <v>6</v>
      </c>
      <c r="J10" s="27" t="n">
        <v>200</v>
      </c>
      <c r="K10" s="25" t="n">
        <v>-18.1479749</v>
      </c>
      <c r="L10" s="27" t="n">
        <v>-65.4836166</v>
      </c>
      <c r="M10" s="29" t="n">
        <v>0</v>
      </c>
      <c r="N10" s="28" t="n">
        <v>0</v>
      </c>
      <c r="O10" s="28" t="n">
        <v>0</v>
      </c>
      <c r="P10" s="28" t="n">
        <v>0</v>
      </c>
      <c r="Q10" s="28" t="n">
        <v>0</v>
      </c>
      <c r="R10" s="20" t="n">
        <f aca="false">Tableau2[[#This Row],[Nov 2023 (CUIE)]]+Tableau2[[#This Row],[ENE 2024 (Ener)]]+Tableau2[[#This Row],[May 2024 (CUIE)]]+Tableau2[[#This Row],[Nov 2024 (CUIE)]]+Tableau2[[#This Row],[Ene 2025 (CUIE)]]</f>
        <v>0</v>
      </c>
      <c r="S10" s="20" t="n">
        <v>1</v>
      </c>
      <c r="T10" s="20" t="n">
        <v>1</v>
      </c>
      <c r="U10" s="20" t="n">
        <v>0</v>
      </c>
      <c r="V10" s="28"/>
      <c r="W10" s="28"/>
      <c r="X10" s="31" t="n">
        <v>0</v>
      </c>
      <c r="Y10" s="32" t="n">
        <v>0</v>
      </c>
      <c r="Z10" s="27"/>
      <c r="AA10" s="28"/>
      <c r="AB10" s="27"/>
      <c r="AC10" s="27" t="n">
        <v>0</v>
      </c>
      <c r="AD10" s="27"/>
      <c r="AE10" s="27" t="n">
        <v>0</v>
      </c>
    </row>
    <row r="11" s="33" customFormat="true" ht="45.75" hidden="false" customHeight="false" outlineLevel="0" collapsed="false">
      <c r="A11" s="25" t="n">
        <v>60</v>
      </c>
      <c r="B11" s="27" t="s">
        <v>77</v>
      </c>
      <c r="C11" s="27" t="s">
        <v>78</v>
      </c>
      <c r="D11" s="27" t="s">
        <v>79</v>
      </c>
      <c r="E11" s="28" t="n">
        <v>6</v>
      </c>
      <c r="F11" s="29" t="s">
        <v>76</v>
      </c>
      <c r="G11" s="25" t="s">
        <v>35</v>
      </c>
      <c r="H11" s="30" t="n">
        <v>0</v>
      </c>
      <c r="I11" s="27" t="n">
        <v>5</v>
      </c>
      <c r="J11" s="27" t="n">
        <v>0</v>
      </c>
      <c r="K11" s="25" t="n">
        <v>-18.2414868</v>
      </c>
      <c r="L11" s="27" t="n">
        <v>-65.3330678</v>
      </c>
      <c r="M11" s="29" t="n">
        <v>0</v>
      </c>
      <c r="N11" s="28" t="n">
        <v>1</v>
      </c>
      <c r="O11" s="28" t="n">
        <v>0</v>
      </c>
      <c r="P11" s="28" t="n">
        <v>0</v>
      </c>
      <c r="Q11" s="28" t="n">
        <v>0</v>
      </c>
      <c r="R11" s="20" t="n">
        <f aca="false">Tableau2[[#This Row],[Nov 2023 (CUIE)]]+Tableau2[[#This Row],[ENE 2024 (Ener)]]+Tableau2[[#This Row],[May 2024 (CUIE)]]+Tableau2[[#This Row],[Nov 2024 (CUIE)]]+Tableau2[[#This Row],[Ene 2025 (CUIE)]]</f>
        <v>1</v>
      </c>
      <c r="S11" s="20" t="n">
        <v>1</v>
      </c>
      <c r="T11" s="20" t="n">
        <v>0</v>
      </c>
      <c r="U11" s="20" t="n">
        <v>0</v>
      </c>
      <c r="V11" s="28"/>
      <c r="W11" s="34" t="s">
        <v>80</v>
      </c>
      <c r="X11" s="31" t="n">
        <v>0</v>
      </c>
      <c r="Y11" s="32" t="n">
        <v>0</v>
      </c>
      <c r="Z11" s="27"/>
      <c r="AA11" s="28"/>
      <c r="AB11" s="27"/>
      <c r="AC11" s="27" t="n">
        <v>0</v>
      </c>
      <c r="AD11" s="27"/>
      <c r="AE11" s="27" t="n">
        <v>0</v>
      </c>
    </row>
    <row r="12" customFormat="false" ht="121.5" hidden="false" customHeight="false" outlineLevel="0" collapsed="false">
      <c r="A12" s="19" t="n">
        <v>6</v>
      </c>
      <c r="B12" s="10" t="s">
        <v>81</v>
      </c>
      <c r="C12" s="10" t="s">
        <v>82</v>
      </c>
      <c r="D12" s="10" t="s">
        <v>42</v>
      </c>
      <c r="E12" s="20" t="n">
        <v>7</v>
      </c>
      <c r="F12" s="8" t="s">
        <v>76</v>
      </c>
      <c r="G12" s="19" t="s">
        <v>35</v>
      </c>
      <c r="H12" s="21" t="n">
        <v>0</v>
      </c>
      <c r="I12" s="10" t="n">
        <v>2</v>
      </c>
      <c r="J12" s="10" t="n">
        <v>100</v>
      </c>
      <c r="K12" s="19" t="n">
        <v>-18.1551753</v>
      </c>
      <c r="L12" s="10" t="n">
        <v>-65.4547028</v>
      </c>
      <c r="M12" s="8" t="n">
        <v>1</v>
      </c>
      <c r="N12" s="20" t="n">
        <v>0</v>
      </c>
      <c r="O12" s="20" t="n">
        <v>1</v>
      </c>
      <c r="P12" s="20" t="n">
        <v>1</v>
      </c>
      <c r="Q12" s="20" t="n">
        <v>0</v>
      </c>
      <c r="R12" s="20" t="n">
        <f aca="false">Tableau2[[#This Row],[Nov 2023 (CUIE)]]+Tableau2[[#This Row],[ENE 2024 (Ener)]]+Tableau2[[#This Row],[May 2024 (CUIE)]]+Tableau2[[#This Row],[Nov 2024 (CUIE)]]+Tableau2[[#This Row],[Ene 2025 (CUIE)]]</f>
        <v>3</v>
      </c>
      <c r="S12" s="20" t="n">
        <v>1</v>
      </c>
      <c r="T12" s="20" t="n">
        <v>1</v>
      </c>
      <c r="U12" s="20" t="n">
        <v>1</v>
      </c>
      <c r="V12" s="20"/>
      <c r="W12" s="20"/>
      <c r="X12" s="23" t="s">
        <v>83</v>
      </c>
      <c r="Y12" s="23" t="s">
        <v>84</v>
      </c>
      <c r="Z12" s="10" t="s">
        <v>85</v>
      </c>
      <c r="AA12" s="20"/>
      <c r="AB12" s="10"/>
      <c r="AC12" s="10" t="n">
        <v>0</v>
      </c>
      <c r="AD12" s="10"/>
      <c r="AE12" s="10" t="n">
        <v>0</v>
      </c>
    </row>
    <row r="13" s="33" customFormat="true" ht="30.75" hidden="false" customHeight="false" outlineLevel="0" collapsed="false">
      <c r="A13" s="25" t="n">
        <v>7</v>
      </c>
      <c r="B13" s="27" t="s">
        <v>86</v>
      </c>
      <c r="C13" s="27" t="s">
        <v>87</v>
      </c>
      <c r="D13" s="27" t="s">
        <v>42</v>
      </c>
      <c r="E13" s="28" t="n">
        <v>6</v>
      </c>
      <c r="F13" s="29" t="s">
        <v>34</v>
      </c>
      <c r="G13" s="25" t="s">
        <v>35</v>
      </c>
      <c r="H13" s="30" t="n">
        <v>0</v>
      </c>
      <c r="I13" s="27" t="n">
        <v>3</v>
      </c>
      <c r="J13" s="27" t="n">
        <v>300</v>
      </c>
      <c r="K13" s="25" t="n">
        <v>-18.1664275</v>
      </c>
      <c r="L13" s="27" t="n">
        <v>-65.4679999</v>
      </c>
      <c r="M13" s="29" t="n">
        <v>0</v>
      </c>
      <c r="N13" s="28" t="n">
        <v>1</v>
      </c>
      <c r="O13" s="28" t="n">
        <v>0</v>
      </c>
      <c r="P13" s="28" t="n">
        <v>0</v>
      </c>
      <c r="Q13" s="28" t="n">
        <v>1</v>
      </c>
      <c r="R13" s="20" t="n">
        <f aca="false">Tableau2[[#This Row],[Nov 2023 (CUIE)]]+Tableau2[[#This Row],[ENE 2024 (Ener)]]+Tableau2[[#This Row],[May 2024 (CUIE)]]+Tableau2[[#This Row],[Nov 2024 (CUIE)]]+Tableau2[[#This Row],[Ene 2025 (CUIE)]]</f>
        <v>2</v>
      </c>
      <c r="S13" s="20" t="n">
        <v>1</v>
      </c>
      <c r="T13" s="20" t="n">
        <v>0</v>
      </c>
      <c r="U13" s="20" t="n">
        <v>0</v>
      </c>
      <c r="V13" s="28"/>
      <c r="W13" s="34" t="s">
        <v>88</v>
      </c>
      <c r="X13" s="31" t="n">
        <v>0</v>
      </c>
      <c r="Y13" s="32" t="n">
        <v>0</v>
      </c>
      <c r="Z13" s="27"/>
      <c r="AA13" s="28"/>
      <c r="AB13" s="27" t="s">
        <v>89</v>
      </c>
      <c r="AC13" s="27" t="n">
        <v>0</v>
      </c>
      <c r="AD13" s="27"/>
      <c r="AE13" s="27" t="n">
        <v>0</v>
      </c>
    </row>
    <row r="14" s="33" customFormat="true" ht="15" hidden="false" customHeight="false" outlineLevel="0" collapsed="false">
      <c r="A14" s="25" t="n">
        <v>55</v>
      </c>
      <c r="B14" s="27" t="s">
        <v>90</v>
      </c>
      <c r="C14" s="27" t="s">
        <v>91</v>
      </c>
      <c r="D14" s="27" t="s">
        <v>92</v>
      </c>
      <c r="E14" s="28" t="n">
        <v>1</v>
      </c>
      <c r="F14" s="29" t="s">
        <v>93</v>
      </c>
      <c r="G14" s="25" t="s">
        <v>35</v>
      </c>
      <c r="H14" s="30" t="n">
        <v>0</v>
      </c>
      <c r="I14" s="27" t="n">
        <v>2</v>
      </c>
      <c r="J14" s="27" t="n">
        <v>500</v>
      </c>
      <c r="K14" s="25" t="n">
        <v>-18.1529303</v>
      </c>
      <c r="L14" s="27" t="n">
        <v>-65.4085055</v>
      </c>
      <c r="M14" s="29" t="n">
        <v>0</v>
      </c>
      <c r="N14" s="28" t="n">
        <v>0</v>
      </c>
      <c r="O14" s="28" t="n">
        <v>0</v>
      </c>
      <c r="P14" s="28" t="n">
        <v>0</v>
      </c>
      <c r="Q14" s="28" t="n">
        <v>0</v>
      </c>
      <c r="R14" s="20" t="n">
        <f aca="false">Tableau2[[#This Row],[Nov 2023 (CUIE)]]+Tableau2[[#This Row],[ENE 2024 (Ener)]]+Tableau2[[#This Row],[May 2024 (CUIE)]]+Tableau2[[#This Row],[Nov 2024 (CUIE)]]+Tableau2[[#This Row],[Ene 2025 (CUIE)]]</f>
        <v>0</v>
      </c>
      <c r="S14" s="20" t="n">
        <v>1</v>
      </c>
      <c r="T14" s="20" t="n">
        <v>0</v>
      </c>
      <c r="U14" s="20" t="n">
        <v>0</v>
      </c>
      <c r="V14" s="28"/>
      <c r="W14" s="28"/>
      <c r="X14" s="31" t="n">
        <v>0</v>
      </c>
      <c r="Y14" s="32" t="n">
        <v>0</v>
      </c>
      <c r="Z14" s="27"/>
      <c r="AA14" s="28"/>
      <c r="AB14" s="27"/>
      <c r="AC14" s="27" t="n">
        <v>0</v>
      </c>
      <c r="AD14" s="27"/>
      <c r="AE14" s="27" t="n">
        <v>0</v>
      </c>
    </row>
    <row r="15" s="33" customFormat="true" ht="60.75" hidden="false" customHeight="false" outlineLevel="0" collapsed="false">
      <c r="A15" s="25" t="n">
        <v>8</v>
      </c>
      <c r="B15" s="27" t="s">
        <v>94</v>
      </c>
      <c r="C15" s="27" t="s">
        <v>95</v>
      </c>
      <c r="D15" s="27" t="s">
        <v>42</v>
      </c>
      <c r="E15" s="28" t="n">
        <v>4</v>
      </c>
      <c r="F15" s="29" t="s">
        <v>65</v>
      </c>
      <c r="G15" s="25" t="s">
        <v>35</v>
      </c>
      <c r="H15" s="30" t="n">
        <v>0</v>
      </c>
      <c r="I15" s="27" t="n">
        <v>3</v>
      </c>
      <c r="J15" s="27" t="n">
        <v>200</v>
      </c>
      <c r="K15" s="25" t="n">
        <v>-18.1289625</v>
      </c>
      <c r="L15" s="27" t="n">
        <v>-65.4762248</v>
      </c>
      <c r="M15" s="29" t="n">
        <v>0</v>
      </c>
      <c r="N15" s="28" t="n">
        <v>1</v>
      </c>
      <c r="O15" s="28" t="n">
        <v>0</v>
      </c>
      <c r="P15" s="28" t="n">
        <v>0</v>
      </c>
      <c r="Q15" s="28" t="n">
        <v>0</v>
      </c>
      <c r="R15" s="20" t="n">
        <f aca="false">Tableau2[[#This Row],[Nov 2023 (CUIE)]]+Tableau2[[#This Row],[ENE 2024 (Ener)]]+Tableau2[[#This Row],[May 2024 (CUIE)]]+Tableau2[[#This Row],[Nov 2024 (CUIE)]]+Tableau2[[#This Row],[Ene 2025 (CUIE)]]</f>
        <v>1</v>
      </c>
      <c r="S15" s="20" t="n">
        <v>1</v>
      </c>
      <c r="T15" s="20" t="n">
        <v>0</v>
      </c>
      <c r="U15" s="20" t="n">
        <v>0</v>
      </c>
      <c r="V15" s="28"/>
      <c r="W15" s="34" t="s">
        <v>96</v>
      </c>
      <c r="X15" s="31" t="n">
        <v>0</v>
      </c>
      <c r="Y15" s="37" t="n">
        <v>0</v>
      </c>
      <c r="Z15" s="27"/>
      <c r="AA15" s="28"/>
      <c r="AB15" s="27"/>
      <c r="AC15" s="27" t="n">
        <v>0</v>
      </c>
      <c r="AD15" s="27"/>
      <c r="AE15" s="27" t="n">
        <v>0</v>
      </c>
    </row>
    <row r="16" s="33" customFormat="true" ht="30.75" hidden="false" customHeight="false" outlineLevel="0" collapsed="false">
      <c r="A16" s="25" t="n">
        <v>9</v>
      </c>
      <c r="B16" s="27" t="s">
        <v>97</v>
      </c>
      <c r="C16" s="27" t="s">
        <v>98</v>
      </c>
      <c r="D16" s="27" t="s">
        <v>42</v>
      </c>
      <c r="E16" s="28" t="n">
        <v>8</v>
      </c>
      <c r="F16" s="29" t="s">
        <v>60</v>
      </c>
      <c r="G16" s="25" t="s">
        <v>35</v>
      </c>
      <c r="H16" s="30" t="n">
        <v>0</v>
      </c>
      <c r="I16" s="27" t="n">
        <v>4</v>
      </c>
      <c r="J16" s="27" t="n">
        <v>100</v>
      </c>
      <c r="K16" s="25" t="n">
        <v>-18.1322506</v>
      </c>
      <c r="L16" s="27" t="n">
        <v>-65.4091419</v>
      </c>
      <c r="M16" s="29" t="n">
        <v>0</v>
      </c>
      <c r="N16" s="28"/>
      <c r="O16" s="28" t="n">
        <v>0</v>
      </c>
      <c r="P16" s="28" t="n">
        <v>0</v>
      </c>
      <c r="Q16" s="28" t="n">
        <v>0</v>
      </c>
      <c r="R16" s="20" t="n">
        <f aca="false">Tableau2[[#This Row],[Nov 2023 (CUIE)]]+Tableau2[[#This Row],[ENE 2024 (Ener)]]+Tableau2[[#This Row],[May 2024 (CUIE)]]+Tableau2[[#This Row],[Nov 2024 (CUIE)]]+Tableau2[[#This Row],[Ene 2025 (CUIE)]]</f>
        <v>0</v>
      </c>
      <c r="S16" s="20" t="n">
        <v>1</v>
      </c>
      <c r="T16" s="20" t="n">
        <v>0</v>
      </c>
      <c r="U16" s="20" t="n">
        <v>0</v>
      </c>
      <c r="V16" s="28"/>
      <c r="W16" s="28"/>
      <c r="X16" s="31" t="n">
        <v>0</v>
      </c>
      <c r="Y16" s="32" t="n">
        <v>0</v>
      </c>
      <c r="Z16" s="27"/>
      <c r="AA16" s="28"/>
      <c r="AB16" s="27"/>
      <c r="AC16" s="27" t="n">
        <v>0</v>
      </c>
      <c r="AD16" s="27"/>
      <c r="AE16" s="27" t="n">
        <v>0</v>
      </c>
    </row>
    <row r="17" s="33" customFormat="true" ht="15" hidden="false" customHeight="false" outlineLevel="0" collapsed="false">
      <c r="A17" s="25" t="n">
        <v>10</v>
      </c>
      <c r="B17" s="27" t="s">
        <v>99</v>
      </c>
      <c r="C17" s="27" t="s">
        <v>100</v>
      </c>
      <c r="D17" s="27" t="s">
        <v>42</v>
      </c>
      <c r="E17" s="28" t="n">
        <v>1</v>
      </c>
      <c r="F17" s="29" t="s">
        <v>93</v>
      </c>
      <c r="G17" s="25" t="s">
        <v>35</v>
      </c>
      <c r="H17" s="30" t="n">
        <v>0</v>
      </c>
      <c r="I17" s="27" t="n">
        <v>4</v>
      </c>
      <c r="J17" s="27" t="n">
        <v>0</v>
      </c>
      <c r="K17" s="25" t="n">
        <v>-18.1495898</v>
      </c>
      <c r="L17" s="27" t="n">
        <v>-65.4725349</v>
      </c>
      <c r="M17" s="29" t="n">
        <v>0</v>
      </c>
      <c r="N17" s="28" t="n">
        <v>1</v>
      </c>
      <c r="O17" s="28" t="n">
        <v>0</v>
      </c>
      <c r="P17" s="28" t="n">
        <v>0</v>
      </c>
      <c r="Q17" s="28" t="n">
        <v>0</v>
      </c>
      <c r="R17" s="20" t="n">
        <f aca="false">Tableau2[[#This Row],[Nov 2023 (CUIE)]]+Tableau2[[#This Row],[ENE 2024 (Ener)]]+Tableau2[[#This Row],[May 2024 (CUIE)]]+Tableau2[[#This Row],[Nov 2024 (CUIE)]]+Tableau2[[#This Row],[Ene 2025 (CUIE)]]</f>
        <v>1</v>
      </c>
      <c r="S17" s="20" t="n">
        <v>1</v>
      </c>
      <c r="T17" s="20" t="n">
        <v>0</v>
      </c>
      <c r="U17" s="20" t="n">
        <v>0</v>
      </c>
      <c r="V17" s="28"/>
      <c r="W17" s="28" t="s">
        <v>71</v>
      </c>
      <c r="X17" s="31" t="n">
        <v>0</v>
      </c>
      <c r="Y17" s="37" t="n">
        <v>0</v>
      </c>
      <c r="Z17" s="27"/>
      <c r="AA17" s="28"/>
      <c r="AB17" s="27"/>
      <c r="AC17" s="27" t="n">
        <v>0</v>
      </c>
      <c r="AD17" s="27"/>
      <c r="AE17" s="27" t="n">
        <v>0</v>
      </c>
    </row>
    <row r="18" customFormat="false" ht="60.75" hidden="false" customHeight="false" outlineLevel="0" collapsed="false">
      <c r="A18" s="19" t="n">
        <v>61</v>
      </c>
      <c r="B18" s="10" t="s">
        <v>101</v>
      </c>
      <c r="C18" s="10" t="s">
        <v>102</v>
      </c>
      <c r="D18" s="10" t="s">
        <v>51</v>
      </c>
      <c r="E18" s="20" t="n">
        <v>4</v>
      </c>
      <c r="F18" s="8" t="s">
        <v>47</v>
      </c>
      <c r="G18" s="19" t="s">
        <v>35</v>
      </c>
      <c r="H18" s="21" t="n">
        <v>0</v>
      </c>
      <c r="I18" s="10" t="n">
        <v>3</v>
      </c>
      <c r="J18" s="10" t="n">
        <v>250</v>
      </c>
      <c r="K18" s="19" t="n">
        <v>-18.2399864</v>
      </c>
      <c r="L18" s="10" t="n">
        <v>-65.3428238</v>
      </c>
      <c r="M18" s="8" t="n">
        <v>0</v>
      </c>
      <c r="N18" s="20" t="n">
        <v>1</v>
      </c>
      <c r="O18" s="20" t="n">
        <v>1</v>
      </c>
      <c r="P18" s="20" t="n">
        <v>1</v>
      </c>
      <c r="Q18" s="20" t="n">
        <v>0</v>
      </c>
      <c r="R18" s="20" t="n">
        <f aca="false">Tableau2[[#This Row],[Nov 2023 (CUIE)]]+Tableau2[[#This Row],[ENE 2024 (Ener)]]+Tableau2[[#This Row],[May 2024 (CUIE)]]+Tableau2[[#This Row],[Nov 2024 (CUIE)]]+Tableau2[[#This Row],[Ene 2025 (CUIE)]]</f>
        <v>3</v>
      </c>
      <c r="S18" s="20" t="n">
        <v>1</v>
      </c>
      <c r="T18" s="20" t="n">
        <v>1</v>
      </c>
      <c r="U18" s="20" t="n">
        <v>1</v>
      </c>
      <c r="V18" s="20"/>
      <c r="W18" s="22" t="s">
        <v>103</v>
      </c>
      <c r="X18" s="23" t="s">
        <v>104</v>
      </c>
      <c r="Y18" s="23" t="s">
        <v>105</v>
      </c>
      <c r="Z18" s="10"/>
      <c r="AA18" s="20"/>
      <c r="AB18" s="10"/>
      <c r="AC18" s="10" t="n">
        <v>0</v>
      </c>
      <c r="AD18" s="10"/>
      <c r="AE18" s="10" t="n">
        <v>0</v>
      </c>
    </row>
    <row r="19" s="46" customFormat="true" ht="91.5" hidden="false" customHeight="false" outlineLevel="0" collapsed="false">
      <c r="A19" s="38" t="n">
        <v>11</v>
      </c>
      <c r="B19" s="39" t="s">
        <v>106</v>
      </c>
      <c r="C19" s="39" t="s">
        <v>107</v>
      </c>
      <c r="D19" s="39" t="s">
        <v>42</v>
      </c>
      <c r="E19" s="40" t="n">
        <v>5</v>
      </c>
      <c r="F19" s="41" t="s">
        <v>65</v>
      </c>
      <c r="G19" s="38" t="s">
        <v>35</v>
      </c>
      <c r="H19" s="42" t="n">
        <v>0</v>
      </c>
      <c r="I19" s="39" t="n">
        <v>4</v>
      </c>
      <c r="J19" s="39" t="n">
        <v>100</v>
      </c>
      <c r="K19" s="38" t="n">
        <v>-18.1680025</v>
      </c>
      <c r="L19" s="39" t="n">
        <v>-65.4675922</v>
      </c>
      <c r="M19" s="41" t="n">
        <v>0</v>
      </c>
      <c r="N19" s="40" t="n">
        <v>1</v>
      </c>
      <c r="O19" s="40" t="n">
        <v>0</v>
      </c>
      <c r="P19" s="40" t="n">
        <v>0</v>
      </c>
      <c r="Q19" s="40" t="n">
        <v>1</v>
      </c>
      <c r="R19" s="40" t="n">
        <f aca="false">Tableau2[[#This Row],[Nov 2023 (CUIE)]]+Tableau2[[#This Row],[ENE 2024 (Ener)]]+Tableau2[[#This Row],[May 2024 (CUIE)]]+Tableau2[[#This Row],[Nov 2024 (CUIE)]]+Tableau2[[#This Row],[Ene 2025 (CUIE)]]</f>
        <v>2</v>
      </c>
      <c r="S19" s="40" t="n">
        <v>1</v>
      </c>
      <c r="T19" s="40" t="n">
        <v>0</v>
      </c>
      <c r="U19" s="40" t="n">
        <v>0</v>
      </c>
      <c r="V19" s="40"/>
      <c r="W19" s="43" t="s">
        <v>108</v>
      </c>
      <c r="X19" s="44" t="n">
        <v>0</v>
      </c>
      <c r="Y19" s="45" t="n">
        <v>0</v>
      </c>
      <c r="Z19" s="39"/>
      <c r="AA19" s="40"/>
      <c r="AB19" s="41" t="s">
        <v>109</v>
      </c>
      <c r="AC19" s="39" t="n">
        <v>1</v>
      </c>
      <c r="AD19" s="41" t="s">
        <v>110</v>
      </c>
      <c r="AE19" s="39" t="n">
        <v>0</v>
      </c>
    </row>
    <row r="20" customFormat="false" ht="45.75" hidden="false" customHeight="false" outlineLevel="0" collapsed="false">
      <c r="A20" s="19" t="n">
        <v>92</v>
      </c>
      <c r="B20" s="10" t="s">
        <v>111</v>
      </c>
      <c r="C20" s="10" t="s">
        <v>112</v>
      </c>
      <c r="D20" s="10" t="s">
        <v>33</v>
      </c>
      <c r="E20" s="20" t="n">
        <v>1</v>
      </c>
      <c r="F20" s="8" t="s">
        <v>93</v>
      </c>
      <c r="G20" s="19" t="s">
        <v>35</v>
      </c>
      <c r="H20" s="21" t="n">
        <v>0</v>
      </c>
      <c r="I20" s="10" t="n">
        <v>2</v>
      </c>
      <c r="J20" s="10" t="n">
        <v>0</v>
      </c>
      <c r="K20" s="19" t="n">
        <v>-18.1378466</v>
      </c>
      <c r="L20" s="10" t="n">
        <v>-65.5157741</v>
      </c>
      <c r="M20" s="8" t="n">
        <v>0</v>
      </c>
      <c r="N20" s="20" t="n">
        <v>1</v>
      </c>
      <c r="O20" s="20" t="n">
        <v>1</v>
      </c>
      <c r="P20" s="20" t="n">
        <v>1</v>
      </c>
      <c r="Q20" s="20" t="n">
        <v>0</v>
      </c>
      <c r="R20" s="20" t="n">
        <f aca="false">Tableau2[[#This Row],[Nov 2023 (CUIE)]]+Tableau2[[#This Row],[ENE 2024 (Ener)]]+Tableau2[[#This Row],[May 2024 (CUIE)]]+Tableau2[[#This Row],[Nov 2024 (CUIE)]]+Tableau2[[#This Row],[Ene 2025 (CUIE)]]</f>
        <v>3</v>
      </c>
      <c r="S20" s="20" t="n">
        <v>1</v>
      </c>
      <c r="T20" s="20" t="n">
        <v>1</v>
      </c>
      <c r="U20" s="20" t="n">
        <v>0</v>
      </c>
      <c r="V20" s="20"/>
      <c r="W20" s="22" t="s">
        <v>113</v>
      </c>
      <c r="X20" s="23" t="s">
        <v>114</v>
      </c>
      <c r="Y20" s="23" t="s">
        <v>115</v>
      </c>
      <c r="Z20" s="10"/>
      <c r="AA20" s="20"/>
      <c r="AB20" s="10"/>
      <c r="AC20" s="10" t="n">
        <v>0</v>
      </c>
      <c r="AD20" s="10"/>
      <c r="AE20" s="10" t="n">
        <v>0</v>
      </c>
    </row>
    <row r="21" s="33" customFormat="true" ht="30.75" hidden="false" customHeight="false" outlineLevel="0" collapsed="false">
      <c r="A21" s="25" t="n">
        <v>12</v>
      </c>
      <c r="B21" s="27" t="s">
        <v>116</v>
      </c>
      <c r="C21" s="27" t="s">
        <v>117</v>
      </c>
      <c r="D21" s="27" t="s">
        <v>42</v>
      </c>
      <c r="E21" s="28" t="n">
        <v>5</v>
      </c>
      <c r="F21" s="29" t="s">
        <v>47</v>
      </c>
      <c r="G21" s="25" t="s">
        <v>35</v>
      </c>
      <c r="H21" s="30" t="n">
        <v>0</v>
      </c>
      <c r="I21" s="27" t="n">
        <v>3</v>
      </c>
      <c r="J21" s="27" t="n">
        <v>1200</v>
      </c>
      <c r="K21" s="25" t="n">
        <v>-18.1808217</v>
      </c>
      <c r="L21" s="27" t="n">
        <v>-65.4633663</v>
      </c>
      <c r="M21" s="29" t="n">
        <v>0</v>
      </c>
      <c r="N21" s="28"/>
      <c r="O21" s="28" t="n">
        <v>0</v>
      </c>
      <c r="P21" s="28" t="n">
        <v>0</v>
      </c>
      <c r="Q21" s="28" t="n">
        <v>0</v>
      </c>
      <c r="R21" s="20" t="n">
        <f aca="false">Tableau2[[#This Row],[Nov 2023 (CUIE)]]+Tableau2[[#This Row],[ENE 2024 (Ener)]]+Tableau2[[#This Row],[May 2024 (CUIE)]]+Tableau2[[#This Row],[Nov 2024 (CUIE)]]+Tableau2[[#This Row],[Ene 2025 (CUIE)]]</f>
        <v>0</v>
      </c>
      <c r="S21" s="20" t="n">
        <v>1</v>
      </c>
      <c r="T21" s="20" t="n">
        <v>0</v>
      </c>
      <c r="U21" s="20" t="n">
        <v>0</v>
      </c>
      <c r="V21" s="28"/>
      <c r="W21" s="28"/>
      <c r="X21" s="31" t="n">
        <v>0</v>
      </c>
      <c r="Y21" s="32" t="n">
        <v>0</v>
      </c>
      <c r="Z21" s="27"/>
      <c r="AA21" s="28"/>
      <c r="AB21" s="27"/>
      <c r="AC21" s="27" t="n">
        <v>0</v>
      </c>
      <c r="AD21" s="27"/>
      <c r="AE21" s="27" t="n">
        <v>0</v>
      </c>
    </row>
    <row r="22" s="33" customFormat="true" ht="30.75" hidden="false" customHeight="false" outlineLevel="0" collapsed="false">
      <c r="A22" s="25" t="n">
        <v>47</v>
      </c>
      <c r="B22" s="27" t="s">
        <v>118</v>
      </c>
      <c r="C22" s="27" t="s">
        <v>119</v>
      </c>
      <c r="D22" s="27" t="s">
        <v>59</v>
      </c>
      <c r="E22" s="28" t="n">
        <v>6</v>
      </c>
      <c r="F22" s="29" t="s">
        <v>47</v>
      </c>
      <c r="G22" s="25" t="s">
        <v>35</v>
      </c>
      <c r="H22" s="30" t="n">
        <v>0</v>
      </c>
      <c r="I22" s="27" t="n">
        <v>4</v>
      </c>
      <c r="J22" s="27" t="n">
        <v>400</v>
      </c>
      <c r="K22" s="25" t="n">
        <v>-18.1437187</v>
      </c>
      <c r="L22" s="27" t="n">
        <v>-65.4537737</v>
      </c>
      <c r="M22" s="29" t="n">
        <v>0</v>
      </c>
      <c r="N22" s="28" t="n">
        <v>0</v>
      </c>
      <c r="O22" s="28" t="n">
        <v>0</v>
      </c>
      <c r="P22" s="28" t="n">
        <v>0</v>
      </c>
      <c r="Q22" s="28" t="n">
        <v>0</v>
      </c>
      <c r="R22" s="20" t="n">
        <f aca="false">Tableau2[[#This Row],[Nov 2023 (CUIE)]]+Tableau2[[#This Row],[ENE 2024 (Ener)]]+Tableau2[[#This Row],[May 2024 (CUIE)]]+Tableau2[[#This Row],[Nov 2024 (CUIE)]]+Tableau2[[#This Row],[Ene 2025 (CUIE)]]</f>
        <v>0</v>
      </c>
      <c r="S22" s="20" t="n">
        <v>1</v>
      </c>
      <c r="T22" s="20" t="n">
        <v>0</v>
      </c>
      <c r="U22" s="20" t="n">
        <v>0</v>
      </c>
      <c r="V22" s="28"/>
      <c r="W22" s="28"/>
      <c r="X22" s="31" t="n">
        <v>0</v>
      </c>
      <c r="Y22" s="32" t="n">
        <v>0</v>
      </c>
      <c r="Z22" s="27"/>
      <c r="AA22" s="28"/>
      <c r="AB22" s="27"/>
      <c r="AC22" s="27" t="n">
        <v>0</v>
      </c>
      <c r="AD22" s="27"/>
      <c r="AE22" s="27" t="n">
        <v>0</v>
      </c>
    </row>
    <row r="23" customFormat="false" ht="60.75" hidden="false" customHeight="false" outlineLevel="0" collapsed="false">
      <c r="A23" s="19" t="n">
        <v>13</v>
      </c>
      <c r="B23" s="10" t="s">
        <v>120</v>
      </c>
      <c r="C23" s="10" t="s">
        <v>121</v>
      </c>
      <c r="D23" s="10" t="s">
        <v>42</v>
      </c>
      <c r="E23" s="20" t="n">
        <v>4</v>
      </c>
      <c r="F23" s="8" t="s">
        <v>47</v>
      </c>
      <c r="G23" s="19" t="s">
        <v>35</v>
      </c>
      <c r="H23" s="21" t="n">
        <v>0</v>
      </c>
      <c r="I23" s="10" t="n">
        <v>4</v>
      </c>
      <c r="J23" s="10" t="n">
        <v>300</v>
      </c>
      <c r="K23" s="19" t="n">
        <v>-18.1443632</v>
      </c>
      <c r="L23" s="10" t="n">
        <v>-65.4860788</v>
      </c>
      <c r="M23" s="8" t="n">
        <v>1</v>
      </c>
      <c r="N23" s="20" t="n">
        <v>1</v>
      </c>
      <c r="O23" s="20" t="n">
        <v>0</v>
      </c>
      <c r="P23" s="20" t="n">
        <v>0</v>
      </c>
      <c r="Q23" s="20" t="n">
        <v>0</v>
      </c>
      <c r="R23" s="20" t="n">
        <f aca="false">Tableau2[[#This Row],[Nov 2023 (CUIE)]]+Tableau2[[#This Row],[ENE 2024 (Ener)]]+Tableau2[[#This Row],[May 2024 (CUIE)]]+Tableau2[[#This Row],[Nov 2024 (CUIE)]]+Tableau2[[#This Row],[Ene 2025 (CUIE)]]</f>
        <v>2</v>
      </c>
      <c r="S23" s="20" t="n">
        <v>1</v>
      </c>
      <c r="T23" s="20" t="n">
        <v>1</v>
      </c>
      <c r="U23" s="20" t="n">
        <v>0</v>
      </c>
      <c r="V23" s="20"/>
      <c r="W23" s="22" t="s">
        <v>122</v>
      </c>
      <c r="X23" s="23" t="s">
        <v>37</v>
      </c>
      <c r="Y23" s="47" t="n">
        <v>0</v>
      </c>
      <c r="Z23" s="10"/>
      <c r="AA23" s="20"/>
      <c r="AB23" s="10"/>
      <c r="AC23" s="10" t="n">
        <v>0</v>
      </c>
      <c r="AD23" s="10"/>
      <c r="AE23" s="10" t="n">
        <v>0</v>
      </c>
    </row>
    <row r="24" customFormat="false" ht="76.5" hidden="false" customHeight="false" outlineLevel="0" collapsed="false">
      <c r="A24" s="19" t="n">
        <v>14</v>
      </c>
      <c r="B24" s="10" t="s">
        <v>123</v>
      </c>
      <c r="C24" s="10" t="s">
        <v>124</v>
      </c>
      <c r="D24" s="10" t="s">
        <v>42</v>
      </c>
      <c r="E24" s="20" t="n">
        <v>2</v>
      </c>
      <c r="F24" s="8" t="s">
        <v>125</v>
      </c>
      <c r="G24" s="19" t="s">
        <v>35</v>
      </c>
      <c r="H24" s="21" t="n">
        <v>0</v>
      </c>
      <c r="I24" s="10" t="n">
        <v>3</v>
      </c>
      <c r="J24" s="10" t="n">
        <v>0</v>
      </c>
      <c r="K24" s="19" t="n">
        <v>-18.1628035</v>
      </c>
      <c r="L24" s="10" t="n">
        <v>-65.4623887</v>
      </c>
      <c r="M24" s="8" t="n">
        <v>0</v>
      </c>
      <c r="N24" s="20" t="n">
        <v>1</v>
      </c>
      <c r="O24" s="20" t="n">
        <v>1</v>
      </c>
      <c r="P24" s="20" t="n">
        <v>0</v>
      </c>
      <c r="Q24" s="20" t="n">
        <v>1</v>
      </c>
      <c r="R24" s="20" t="n">
        <f aca="false">Tableau2[[#This Row],[Nov 2023 (CUIE)]]+Tableau2[[#This Row],[ENE 2024 (Ener)]]+Tableau2[[#This Row],[May 2024 (CUIE)]]+Tableau2[[#This Row],[Nov 2024 (CUIE)]]+Tableau2[[#This Row],[Ene 2025 (CUIE)]]</f>
        <v>3</v>
      </c>
      <c r="S24" s="20" t="n">
        <v>1</v>
      </c>
      <c r="T24" s="20" t="n">
        <v>1</v>
      </c>
      <c r="U24" s="20" t="n">
        <v>0</v>
      </c>
      <c r="V24" s="20"/>
      <c r="W24" s="22" t="s">
        <v>126</v>
      </c>
      <c r="X24" s="23" t="s">
        <v>127</v>
      </c>
      <c r="Y24" s="47" t="n">
        <v>0</v>
      </c>
      <c r="Z24" s="10"/>
      <c r="AA24" s="20"/>
      <c r="AB24" s="8" t="s">
        <v>128</v>
      </c>
      <c r="AC24" s="10" t="n">
        <v>0</v>
      </c>
      <c r="AD24" s="10"/>
      <c r="AE24" s="10" t="n">
        <v>0</v>
      </c>
    </row>
    <row r="25" customFormat="false" ht="30.75" hidden="false" customHeight="false" outlineLevel="0" collapsed="false">
      <c r="A25" s="19" t="n">
        <v>62</v>
      </c>
      <c r="B25" s="10" t="s">
        <v>123</v>
      </c>
      <c r="C25" s="10" t="s">
        <v>129</v>
      </c>
      <c r="D25" s="10" t="s">
        <v>51</v>
      </c>
      <c r="E25" s="20" t="n">
        <v>3</v>
      </c>
      <c r="F25" s="8" t="s">
        <v>65</v>
      </c>
      <c r="G25" s="19" t="s">
        <v>35</v>
      </c>
      <c r="H25" s="21" t="n">
        <v>0</v>
      </c>
      <c r="I25" s="10" t="n">
        <v>2</v>
      </c>
      <c r="J25" s="10" t="n">
        <v>500</v>
      </c>
      <c r="K25" s="19" t="n">
        <v>-18.2279309</v>
      </c>
      <c r="L25" s="10" t="n">
        <v>-65.3481947</v>
      </c>
      <c r="M25" s="8" t="n">
        <v>1</v>
      </c>
      <c r="N25" s="20" t="n">
        <v>1</v>
      </c>
      <c r="O25" s="20" t="n">
        <v>0</v>
      </c>
      <c r="P25" s="20" t="n">
        <v>0</v>
      </c>
      <c r="Q25" s="20" t="n">
        <v>0</v>
      </c>
      <c r="R25" s="20" t="n">
        <f aca="false">Tableau2[[#This Row],[Nov 2023 (CUIE)]]+Tableau2[[#This Row],[ENE 2024 (Ener)]]+Tableau2[[#This Row],[May 2024 (CUIE)]]+Tableau2[[#This Row],[Nov 2024 (CUIE)]]+Tableau2[[#This Row],[Ene 2025 (CUIE)]]</f>
        <v>2</v>
      </c>
      <c r="S25" s="20" t="n">
        <v>1</v>
      </c>
      <c r="T25" s="20" t="n">
        <v>1</v>
      </c>
      <c r="U25" s="20" t="n">
        <v>0</v>
      </c>
      <c r="V25" s="20"/>
      <c r="W25" s="20" t="s">
        <v>53</v>
      </c>
      <c r="X25" s="23" t="s">
        <v>127</v>
      </c>
      <c r="Y25" s="37" t="n">
        <v>0</v>
      </c>
      <c r="Z25" s="10"/>
      <c r="AA25" s="20"/>
      <c r="AB25" s="10"/>
      <c r="AC25" s="10" t="n">
        <v>0</v>
      </c>
      <c r="AD25" s="10"/>
      <c r="AE25" s="10" t="n">
        <v>0</v>
      </c>
    </row>
    <row r="26" customFormat="false" ht="76.5" hidden="false" customHeight="false" outlineLevel="0" collapsed="false">
      <c r="A26" s="19" t="n">
        <v>63</v>
      </c>
      <c r="B26" s="10" t="s">
        <v>130</v>
      </c>
      <c r="C26" s="10" t="s">
        <v>131</v>
      </c>
      <c r="D26" s="10" t="s">
        <v>51</v>
      </c>
      <c r="E26" s="20" t="n">
        <v>7</v>
      </c>
      <c r="F26" s="8" t="s">
        <v>76</v>
      </c>
      <c r="G26" s="19" t="s">
        <v>61</v>
      </c>
      <c r="H26" s="21" t="s">
        <v>132</v>
      </c>
      <c r="I26" s="10" t="n">
        <v>3</v>
      </c>
      <c r="J26" s="10" t="n">
        <v>100</v>
      </c>
      <c r="K26" s="19" t="n">
        <v>-18.235216</v>
      </c>
      <c r="L26" s="10" t="n">
        <v>-65.3418804</v>
      </c>
      <c r="M26" s="8" t="n">
        <v>0</v>
      </c>
      <c r="N26" s="20" t="n">
        <v>1</v>
      </c>
      <c r="O26" s="20" t="n">
        <v>0</v>
      </c>
      <c r="P26" s="20" t="n">
        <v>1</v>
      </c>
      <c r="Q26" s="20" t="n">
        <v>0</v>
      </c>
      <c r="R26" s="20" t="n">
        <f aca="false">Tableau2[[#This Row],[Nov 2023 (CUIE)]]+Tableau2[[#This Row],[ENE 2024 (Ener)]]+Tableau2[[#This Row],[May 2024 (CUIE)]]+Tableau2[[#This Row],[Nov 2024 (CUIE)]]+Tableau2[[#This Row],[Ene 2025 (CUIE)]]</f>
        <v>2</v>
      </c>
      <c r="S26" s="20" t="n">
        <v>1</v>
      </c>
      <c r="T26" s="36" t="n">
        <v>1</v>
      </c>
      <c r="U26" s="20" t="n">
        <v>1</v>
      </c>
      <c r="V26" s="20"/>
      <c r="W26" s="20" t="s">
        <v>133</v>
      </c>
      <c r="X26" s="23" t="n">
        <v>0</v>
      </c>
      <c r="Y26" s="23" t="s">
        <v>134</v>
      </c>
      <c r="Z26" s="10"/>
      <c r="AA26" s="20"/>
      <c r="AB26" s="10"/>
      <c r="AC26" s="10" t="n">
        <v>0</v>
      </c>
      <c r="AD26" s="10"/>
      <c r="AE26" s="10" t="n">
        <v>0</v>
      </c>
    </row>
    <row r="27" customFormat="false" ht="91.5" hidden="false" customHeight="false" outlineLevel="0" collapsed="false">
      <c r="A27" s="19" t="n">
        <v>64</v>
      </c>
      <c r="B27" s="10" t="s">
        <v>135</v>
      </c>
      <c r="C27" s="10" t="s">
        <v>136</v>
      </c>
      <c r="D27" s="10" t="s">
        <v>51</v>
      </c>
      <c r="E27" s="20" t="n">
        <v>7</v>
      </c>
      <c r="F27" s="8" t="s">
        <v>137</v>
      </c>
      <c r="G27" s="19" t="s">
        <v>61</v>
      </c>
      <c r="H27" s="21" t="s">
        <v>138</v>
      </c>
      <c r="I27" s="10" t="n">
        <v>4</v>
      </c>
      <c r="J27" s="10" t="n">
        <v>200</v>
      </c>
      <c r="K27" s="19" t="n">
        <v>-18.2345213</v>
      </c>
      <c r="L27" s="10" t="n">
        <v>-65.3468323</v>
      </c>
      <c r="M27" s="8" t="n">
        <v>1</v>
      </c>
      <c r="N27" s="20" t="n">
        <v>1</v>
      </c>
      <c r="O27" s="20" t="n">
        <v>0</v>
      </c>
      <c r="P27" s="20" t="n">
        <v>1</v>
      </c>
      <c r="Q27" s="20" t="n">
        <v>0</v>
      </c>
      <c r="R27" s="20" t="n">
        <f aca="false">Tableau2[[#This Row],[Nov 2023 (CUIE)]]+Tableau2[[#This Row],[ENE 2024 (Ener)]]+Tableau2[[#This Row],[May 2024 (CUIE)]]+Tableau2[[#This Row],[Nov 2024 (CUIE)]]+Tableau2[[#This Row],[Ene 2025 (CUIE)]]</f>
        <v>3</v>
      </c>
      <c r="S27" s="20" t="n">
        <v>1</v>
      </c>
      <c r="T27" s="20" t="n">
        <v>1</v>
      </c>
      <c r="U27" s="20" t="n">
        <v>1</v>
      </c>
      <c r="V27" s="20"/>
      <c r="W27" s="20" t="s">
        <v>53</v>
      </c>
      <c r="X27" s="23" t="s">
        <v>104</v>
      </c>
      <c r="Y27" s="23" t="s">
        <v>139</v>
      </c>
      <c r="Z27" s="10" t="s">
        <v>55</v>
      </c>
      <c r="AA27" s="20"/>
      <c r="AB27" s="10"/>
      <c r="AC27" s="10" t="n">
        <v>0</v>
      </c>
      <c r="AD27" s="10"/>
      <c r="AE27" s="10" t="n">
        <v>0</v>
      </c>
    </row>
    <row r="28" customFormat="false" ht="30.75" hidden="false" customHeight="false" outlineLevel="0" collapsed="false">
      <c r="A28" s="19" t="n">
        <v>65</v>
      </c>
      <c r="B28" s="10" t="s">
        <v>140</v>
      </c>
      <c r="C28" s="10" t="s">
        <v>141</v>
      </c>
      <c r="D28" s="10" t="s">
        <v>51</v>
      </c>
      <c r="E28" s="20" t="s">
        <v>43</v>
      </c>
      <c r="F28" s="8" t="s">
        <v>43</v>
      </c>
      <c r="G28" s="19" t="s">
        <v>35</v>
      </c>
      <c r="H28" s="21" t="n">
        <v>0</v>
      </c>
      <c r="I28" s="10" t="s">
        <v>43</v>
      </c>
      <c r="J28" s="10" t="s">
        <v>43</v>
      </c>
      <c r="K28" s="19" t="n">
        <v>-18.232222</v>
      </c>
      <c r="L28" s="10" t="n">
        <v>-65.354041</v>
      </c>
      <c r="M28" s="8" t="n">
        <v>0</v>
      </c>
      <c r="N28" s="20" t="n">
        <v>1</v>
      </c>
      <c r="O28" s="20" t="n">
        <v>1</v>
      </c>
      <c r="P28" s="20" t="n">
        <v>0</v>
      </c>
      <c r="Q28" s="20" t="n">
        <v>0</v>
      </c>
      <c r="R28" s="20" t="n">
        <f aca="false">Tableau2[[#This Row],[Nov 2023 (CUIE)]]+Tableau2[[#This Row],[ENE 2024 (Ener)]]+Tableau2[[#This Row],[May 2024 (CUIE)]]+Tableau2[[#This Row],[Nov 2024 (CUIE)]]+Tableau2[[#This Row],[Ene 2025 (CUIE)]]</f>
        <v>2</v>
      </c>
      <c r="S28" s="20" t="n">
        <v>1</v>
      </c>
      <c r="T28" s="20" t="n">
        <v>1</v>
      </c>
      <c r="U28" s="20" t="n">
        <v>0</v>
      </c>
      <c r="V28" s="20"/>
      <c r="W28" s="22" t="s">
        <v>142</v>
      </c>
      <c r="X28" s="23" t="s">
        <v>127</v>
      </c>
      <c r="Y28" s="47" t="n">
        <v>0</v>
      </c>
      <c r="Z28" s="10"/>
      <c r="AA28" s="20"/>
      <c r="AB28" s="10"/>
      <c r="AC28" s="10" t="n">
        <v>0</v>
      </c>
      <c r="AD28" s="10"/>
      <c r="AE28" s="10" t="n">
        <v>0</v>
      </c>
    </row>
    <row r="29" s="33" customFormat="true" ht="30.75" hidden="false" customHeight="false" outlineLevel="0" collapsed="false">
      <c r="A29" s="25" t="n">
        <v>66</v>
      </c>
      <c r="B29" s="27" t="s">
        <v>143</v>
      </c>
      <c r="C29" s="27" t="s">
        <v>144</v>
      </c>
      <c r="D29" s="27" t="s">
        <v>51</v>
      </c>
      <c r="E29" s="28" t="n">
        <v>3</v>
      </c>
      <c r="F29" s="29" t="s">
        <v>65</v>
      </c>
      <c r="G29" s="25" t="s">
        <v>35</v>
      </c>
      <c r="H29" s="30" t="n">
        <v>0</v>
      </c>
      <c r="I29" s="27" t="n">
        <v>2</v>
      </c>
      <c r="J29" s="27" t="n">
        <v>300</v>
      </c>
      <c r="K29" s="25" t="n">
        <v>-18.2293577</v>
      </c>
      <c r="L29" s="27" t="n">
        <v>-65.3465344</v>
      </c>
      <c r="M29" s="29" t="n">
        <v>0</v>
      </c>
      <c r="N29" s="28" t="n">
        <v>0</v>
      </c>
      <c r="O29" s="28" t="n">
        <v>0</v>
      </c>
      <c r="P29" s="28" t="n">
        <v>0</v>
      </c>
      <c r="Q29" s="28" t="n">
        <v>0</v>
      </c>
      <c r="R29" s="20" t="n">
        <f aca="false">Tableau2[[#This Row],[Nov 2023 (CUIE)]]+Tableau2[[#This Row],[ENE 2024 (Ener)]]+Tableau2[[#This Row],[May 2024 (CUIE)]]+Tableau2[[#This Row],[Nov 2024 (CUIE)]]+Tableau2[[#This Row],[Ene 2025 (CUIE)]]</f>
        <v>0</v>
      </c>
      <c r="S29" s="20" t="n">
        <v>1</v>
      </c>
      <c r="T29" s="20" t="n">
        <v>0</v>
      </c>
      <c r="U29" s="20" t="n">
        <v>0</v>
      </c>
      <c r="V29" s="28"/>
      <c r="W29" s="28"/>
      <c r="X29" s="31" t="n">
        <v>0</v>
      </c>
      <c r="Y29" s="32" t="n">
        <v>0</v>
      </c>
      <c r="Z29" s="27"/>
      <c r="AA29" s="28"/>
      <c r="AB29" s="27"/>
      <c r="AC29" s="27" t="n">
        <v>0</v>
      </c>
      <c r="AD29" s="27"/>
      <c r="AE29" s="27" t="n">
        <v>0</v>
      </c>
    </row>
    <row r="30" s="46" customFormat="true" ht="45.75" hidden="false" customHeight="false" outlineLevel="0" collapsed="false">
      <c r="A30" s="38" t="n">
        <v>15</v>
      </c>
      <c r="B30" s="39" t="s">
        <v>145</v>
      </c>
      <c r="C30" s="39" t="s">
        <v>146</v>
      </c>
      <c r="D30" s="39" t="s">
        <v>42</v>
      </c>
      <c r="E30" s="40" t="n">
        <v>7</v>
      </c>
      <c r="F30" s="41" t="s">
        <v>60</v>
      </c>
      <c r="G30" s="38" t="s">
        <v>147</v>
      </c>
      <c r="H30" s="48" t="s">
        <v>148</v>
      </c>
      <c r="I30" s="39" t="n">
        <v>4</v>
      </c>
      <c r="J30" s="39" t="n">
        <v>200</v>
      </c>
      <c r="K30" s="38" t="n">
        <v>-18.1634712</v>
      </c>
      <c r="L30" s="39" t="n">
        <v>-65.4672998</v>
      </c>
      <c r="M30" s="41" t="n">
        <v>0</v>
      </c>
      <c r="N30" s="40" t="n">
        <v>1</v>
      </c>
      <c r="O30" s="40" t="n">
        <v>1</v>
      </c>
      <c r="P30" s="40" t="n">
        <v>0</v>
      </c>
      <c r="Q30" s="40" t="n">
        <v>1</v>
      </c>
      <c r="R30" s="40" t="n">
        <f aca="false">Tableau2[[#This Row],[Nov 2023 (CUIE)]]+Tableau2[[#This Row],[ENE 2024 (Ener)]]+Tableau2[[#This Row],[May 2024 (CUIE)]]+Tableau2[[#This Row],[Nov 2024 (CUIE)]]+Tableau2[[#This Row],[Ene 2025 (CUIE)]]</f>
        <v>3</v>
      </c>
      <c r="S30" s="40" t="n">
        <v>1</v>
      </c>
      <c r="T30" s="40" t="n">
        <v>1</v>
      </c>
      <c r="U30" s="40" t="n">
        <v>0</v>
      </c>
      <c r="V30" s="40"/>
      <c r="W30" s="40" t="s">
        <v>53</v>
      </c>
      <c r="X30" s="44" t="s">
        <v>104</v>
      </c>
      <c r="Y30" s="45" t="n">
        <v>0</v>
      </c>
      <c r="Z30" s="39"/>
      <c r="AA30" s="40"/>
      <c r="AB30" s="41" t="s">
        <v>149</v>
      </c>
      <c r="AC30" s="39" t="n">
        <v>1</v>
      </c>
      <c r="AD30" s="41" t="s">
        <v>150</v>
      </c>
      <c r="AE30" s="39" t="n">
        <v>0</v>
      </c>
    </row>
    <row r="31" customFormat="false" ht="45.75" hidden="false" customHeight="false" outlineLevel="0" collapsed="false">
      <c r="A31" s="19" t="n">
        <v>16</v>
      </c>
      <c r="B31" s="10" t="s">
        <v>151</v>
      </c>
      <c r="C31" s="10" t="s">
        <v>152</v>
      </c>
      <c r="D31" s="10" t="s">
        <v>42</v>
      </c>
      <c r="E31" s="20" t="n">
        <v>8</v>
      </c>
      <c r="F31" s="8" t="s">
        <v>76</v>
      </c>
      <c r="G31" s="19" t="s">
        <v>35</v>
      </c>
      <c r="H31" s="21" t="n">
        <v>0</v>
      </c>
      <c r="I31" s="10" t="n">
        <v>3</v>
      </c>
      <c r="J31" s="10" t="n">
        <v>200</v>
      </c>
      <c r="K31" s="19" t="n">
        <v>-18.1697854</v>
      </c>
      <c r="L31" s="10" t="n">
        <v>-65.4592378</v>
      </c>
      <c r="M31" s="8" t="n">
        <v>0</v>
      </c>
      <c r="N31" s="20" t="n">
        <v>1</v>
      </c>
      <c r="O31" s="20" t="n">
        <v>1</v>
      </c>
      <c r="P31" s="20" t="n">
        <v>0</v>
      </c>
      <c r="Q31" s="20" t="n">
        <v>0</v>
      </c>
      <c r="R31" s="20" t="n">
        <f aca="false">Tableau2[[#This Row],[Nov 2023 (CUIE)]]+Tableau2[[#This Row],[ENE 2024 (Ener)]]+Tableau2[[#This Row],[May 2024 (CUIE)]]+Tableau2[[#This Row],[Nov 2024 (CUIE)]]+Tableau2[[#This Row],[Ene 2025 (CUIE)]]</f>
        <v>2</v>
      </c>
      <c r="S31" s="20" t="n">
        <v>1</v>
      </c>
      <c r="T31" s="20" t="n">
        <v>1</v>
      </c>
      <c r="U31" s="20" t="n">
        <v>0</v>
      </c>
      <c r="V31" s="20"/>
      <c r="W31" s="20" t="s">
        <v>53</v>
      </c>
      <c r="X31" s="23" t="s">
        <v>104</v>
      </c>
      <c r="Y31" s="47" t="n">
        <v>0</v>
      </c>
      <c r="Z31" s="10"/>
      <c r="AA31" s="20"/>
      <c r="AB31" s="10"/>
      <c r="AC31" s="10" t="n">
        <v>0</v>
      </c>
      <c r="AD31" s="10"/>
      <c r="AE31" s="10" t="n">
        <v>0</v>
      </c>
    </row>
    <row r="32" customFormat="false" ht="91.5" hidden="false" customHeight="false" outlineLevel="0" collapsed="false">
      <c r="A32" s="19" t="n">
        <v>93</v>
      </c>
      <c r="B32" s="10" t="s">
        <v>153</v>
      </c>
      <c r="C32" s="10" t="s">
        <v>154</v>
      </c>
      <c r="D32" s="10" t="s">
        <v>33</v>
      </c>
      <c r="E32" s="20" t="n">
        <v>2</v>
      </c>
      <c r="F32" s="8" t="s">
        <v>52</v>
      </c>
      <c r="G32" s="19" t="s">
        <v>35</v>
      </c>
      <c r="H32" s="21" t="n">
        <v>0</v>
      </c>
      <c r="I32" s="10" t="n">
        <v>3</v>
      </c>
      <c r="J32" s="10" t="n">
        <v>100</v>
      </c>
      <c r="K32" s="19" t="n">
        <v>-18.1478455</v>
      </c>
      <c r="L32" s="10" t="n">
        <v>-65.4969803</v>
      </c>
      <c r="M32" s="8" t="n">
        <v>0</v>
      </c>
      <c r="N32" s="20" t="n">
        <v>1</v>
      </c>
      <c r="O32" s="20" t="n">
        <v>0</v>
      </c>
      <c r="P32" s="20" t="n">
        <v>1</v>
      </c>
      <c r="Q32" s="20" t="n">
        <v>0</v>
      </c>
      <c r="R32" s="20" t="n">
        <f aca="false">Tableau2[[#This Row],[Nov 2023 (CUIE)]]+Tableau2[[#This Row],[ENE 2024 (Ener)]]+Tableau2[[#This Row],[May 2024 (CUIE)]]+Tableau2[[#This Row],[Nov 2024 (CUIE)]]+Tableau2[[#This Row],[Ene 2025 (CUIE)]]</f>
        <v>2</v>
      </c>
      <c r="S32" s="20" t="n">
        <v>1</v>
      </c>
      <c r="T32" s="20" t="n">
        <v>0</v>
      </c>
      <c r="U32" s="20" t="n">
        <v>0</v>
      </c>
      <c r="V32" s="20"/>
      <c r="W32" s="22" t="s">
        <v>155</v>
      </c>
      <c r="X32" s="23" t="n">
        <v>0</v>
      </c>
      <c r="Y32" s="23" t="s">
        <v>156</v>
      </c>
      <c r="Z32" s="10"/>
      <c r="AA32" s="20"/>
      <c r="AB32" s="10"/>
      <c r="AC32" s="10" t="n">
        <v>0</v>
      </c>
      <c r="AD32" s="10"/>
      <c r="AE32" s="10" t="n">
        <v>0</v>
      </c>
    </row>
    <row r="33" customFormat="false" ht="30.75" hidden="false" customHeight="false" outlineLevel="0" collapsed="false">
      <c r="A33" s="19" t="n">
        <v>17</v>
      </c>
      <c r="B33" s="10" t="s">
        <v>157</v>
      </c>
      <c r="C33" s="10" t="s">
        <v>158</v>
      </c>
      <c r="D33" s="10" t="s">
        <v>42</v>
      </c>
      <c r="E33" s="20" t="n">
        <v>5</v>
      </c>
      <c r="F33" s="8" t="s">
        <v>34</v>
      </c>
      <c r="G33" s="19" t="s">
        <v>35</v>
      </c>
      <c r="H33" s="21" t="n">
        <v>0</v>
      </c>
      <c r="I33" s="10" t="n">
        <v>5</v>
      </c>
      <c r="J33" s="10" t="n">
        <v>300</v>
      </c>
      <c r="K33" s="19" t="n">
        <v>-18.1669678</v>
      </c>
      <c r="L33" s="10" t="n">
        <v>-65.4661009</v>
      </c>
      <c r="M33" s="8" t="n">
        <v>0</v>
      </c>
      <c r="N33" s="20" t="n">
        <v>1</v>
      </c>
      <c r="O33" s="20" t="n">
        <v>1</v>
      </c>
      <c r="P33" s="20" t="n">
        <v>0</v>
      </c>
      <c r="Q33" s="20" t="n">
        <v>0</v>
      </c>
      <c r="R33" s="20" t="n">
        <f aca="false">Tableau2[[#This Row],[Nov 2023 (CUIE)]]+Tableau2[[#This Row],[ENE 2024 (Ener)]]+Tableau2[[#This Row],[May 2024 (CUIE)]]+Tableau2[[#This Row],[Nov 2024 (CUIE)]]+Tableau2[[#This Row],[Ene 2025 (CUIE)]]</f>
        <v>2</v>
      </c>
      <c r="S33" s="20" t="n">
        <v>1</v>
      </c>
      <c r="T33" s="20" t="n">
        <v>1</v>
      </c>
      <c r="U33" s="20" t="n">
        <v>0</v>
      </c>
      <c r="V33" s="20"/>
      <c r="W33" s="20" t="s">
        <v>53</v>
      </c>
      <c r="X33" s="23" t="s">
        <v>159</v>
      </c>
      <c r="Y33" s="47" t="n">
        <v>0</v>
      </c>
      <c r="Z33" s="10"/>
      <c r="AA33" s="20"/>
      <c r="AB33" s="10"/>
      <c r="AC33" s="10" t="n">
        <v>0</v>
      </c>
      <c r="AD33" s="10"/>
      <c r="AE33" s="10" t="n">
        <v>0</v>
      </c>
    </row>
    <row r="34" s="33" customFormat="true" ht="15" hidden="false" customHeight="false" outlineLevel="0" collapsed="false">
      <c r="A34" s="25" t="n">
        <v>18</v>
      </c>
      <c r="B34" s="27" t="s">
        <v>160</v>
      </c>
      <c r="C34" s="27" t="s">
        <v>161</v>
      </c>
      <c r="D34" s="27" t="s">
        <v>42</v>
      </c>
      <c r="E34" s="28" t="n">
        <v>4</v>
      </c>
      <c r="F34" s="29" t="s">
        <v>34</v>
      </c>
      <c r="G34" s="25" t="s">
        <v>35</v>
      </c>
      <c r="H34" s="30" t="n">
        <v>0</v>
      </c>
      <c r="I34" s="27" t="n">
        <v>3</v>
      </c>
      <c r="J34" s="27" t="n">
        <v>300</v>
      </c>
      <c r="K34" s="25" t="n">
        <v>-18.1299598</v>
      </c>
      <c r="L34" s="27" t="n">
        <v>-65.4127268</v>
      </c>
      <c r="M34" s="29" t="n">
        <v>0</v>
      </c>
      <c r="N34" s="28"/>
      <c r="O34" s="28" t="n">
        <v>0</v>
      </c>
      <c r="P34" s="28" t="n">
        <v>0</v>
      </c>
      <c r="Q34" s="28" t="n">
        <v>0</v>
      </c>
      <c r="R34" s="20" t="n">
        <f aca="false">Tableau2[[#This Row],[Nov 2023 (CUIE)]]+Tableau2[[#This Row],[ENE 2024 (Ener)]]+Tableau2[[#This Row],[May 2024 (CUIE)]]+Tableau2[[#This Row],[Nov 2024 (CUIE)]]+Tableau2[[#This Row],[Ene 2025 (CUIE)]]</f>
        <v>0</v>
      </c>
      <c r="S34" s="20" t="n">
        <v>1</v>
      </c>
      <c r="T34" s="20" t="n">
        <v>0</v>
      </c>
      <c r="U34" s="20" t="n">
        <v>0</v>
      </c>
      <c r="V34" s="28"/>
      <c r="W34" s="28"/>
      <c r="X34" s="31" t="n">
        <v>0</v>
      </c>
      <c r="Y34" s="32" t="n">
        <v>0</v>
      </c>
      <c r="Z34" s="27"/>
      <c r="AA34" s="28"/>
      <c r="AB34" s="27"/>
      <c r="AC34" s="27" t="n">
        <v>0</v>
      </c>
      <c r="AD34" s="27"/>
      <c r="AE34" s="27" t="n">
        <v>0</v>
      </c>
    </row>
    <row r="35" customFormat="false" ht="30.75" hidden="false" customHeight="false" outlineLevel="0" collapsed="false">
      <c r="A35" s="19" t="n">
        <v>67</v>
      </c>
      <c r="B35" s="10" t="s">
        <v>162</v>
      </c>
      <c r="C35" s="10" t="s">
        <v>163</v>
      </c>
      <c r="D35" s="10" t="s">
        <v>51</v>
      </c>
      <c r="E35" s="20" t="n">
        <v>5</v>
      </c>
      <c r="F35" s="8" t="s">
        <v>34</v>
      </c>
      <c r="G35" s="19" t="s">
        <v>61</v>
      </c>
      <c r="H35" s="21" t="s">
        <v>164</v>
      </c>
      <c r="I35" s="10" t="n">
        <v>3</v>
      </c>
      <c r="J35" s="10" t="n">
        <v>200</v>
      </c>
      <c r="K35" s="19" t="n">
        <v>-18.2330636</v>
      </c>
      <c r="L35" s="10" t="n">
        <v>-65.3538752</v>
      </c>
      <c r="M35" s="8" t="n">
        <v>0</v>
      </c>
      <c r="N35" s="20" t="n">
        <v>1</v>
      </c>
      <c r="O35" s="20" t="n">
        <v>1</v>
      </c>
      <c r="P35" s="20" t="n">
        <v>0</v>
      </c>
      <c r="Q35" s="20" t="n">
        <v>0</v>
      </c>
      <c r="R35" s="20" t="n">
        <f aca="false">Tableau2[[#This Row],[Nov 2023 (CUIE)]]+Tableau2[[#This Row],[ENE 2024 (Ener)]]+Tableau2[[#This Row],[May 2024 (CUIE)]]+Tableau2[[#This Row],[Nov 2024 (CUIE)]]+Tableau2[[#This Row],[Ene 2025 (CUIE)]]</f>
        <v>2</v>
      </c>
      <c r="S35" s="20" t="n">
        <v>1</v>
      </c>
      <c r="T35" s="20" t="n">
        <v>1</v>
      </c>
      <c r="U35" s="20" t="n">
        <v>0</v>
      </c>
      <c r="V35" s="20"/>
      <c r="W35" s="20" t="s">
        <v>53</v>
      </c>
      <c r="X35" s="23" t="s">
        <v>159</v>
      </c>
      <c r="Y35" s="47" t="n">
        <v>0</v>
      </c>
      <c r="Z35" s="10"/>
      <c r="AA35" s="20"/>
      <c r="AB35" s="10"/>
      <c r="AC35" s="10" t="n">
        <v>0</v>
      </c>
      <c r="AD35" s="10"/>
      <c r="AE35" s="10" t="n">
        <v>0</v>
      </c>
    </row>
    <row r="36" customFormat="false" ht="76.5" hidden="false" customHeight="false" outlineLevel="0" collapsed="false">
      <c r="A36" s="19" t="n">
        <v>19</v>
      </c>
      <c r="B36" s="10" t="s">
        <v>165</v>
      </c>
      <c r="C36" s="10" t="s">
        <v>166</v>
      </c>
      <c r="D36" s="10" t="s">
        <v>42</v>
      </c>
      <c r="E36" s="20" t="n">
        <v>6</v>
      </c>
      <c r="F36" s="8" t="s">
        <v>76</v>
      </c>
      <c r="G36" s="19" t="s">
        <v>35</v>
      </c>
      <c r="H36" s="21" t="n">
        <v>0</v>
      </c>
      <c r="I36" s="10" t="n">
        <v>3</v>
      </c>
      <c r="J36" s="10" t="n">
        <v>500</v>
      </c>
      <c r="K36" s="19" t="n">
        <v>-18.1481352</v>
      </c>
      <c r="L36" s="10" t="n">
        <v>-65.4755018</v>
      </c>
      <c r="M36" s="8" t="n">
        <v>0</v>
      </c>
      <c r="N36" s="20" t="n">
        <v>0</v>
      </c>
      <c r="O36" s="20" t="n">
        <v>0</v>
      </c>
      <c r="P36" s="20" t="n">
        <v>1</v>
      </c>
      <c r="Q36" s="20" t="n">
        <v>0</v>
      </c>
      <c r="R36" s="20" t="n">
        <f aca="false">Tableau2[[#This Row],[Nov 2023 (CUIE)]]+Tableau2[[#This Row],[ENE 2024 (Ener)]]+Tableau2[[#This Row],[May 2024 (CUIE)]]+Tableau2[[#This Row],[Nov 2024 (CUIE)]]+Tableau2[[#This Row],[Ene 2025 (CUIE)]]</f>
        <v>1</v>
      </c>
      <c r="S36" s="20" t="n">
        <v>1</v>
      </c>
      <c r="T36" s="36" t="n">
        <v>1</v>
      </c>
      <c r="U36" s="20" t="n">
        <v>1</v>
      </c>
      <c r="V36" s="20"/>
      <c r="W36" s="20"/>
      <c r="X36" s="23" t="n">
        <v>0</v>
      </c>
      <c r="Y36" s="35" t="s">
        <v>167</v>
      </c>
      <c r="Z36" s="10" t="s">
        <v>39</v>
      </c>
      <c r="AA36" s="20"/>
      <c r="AB36" s="10"/>
      <c r="AC36" s="10" t="n">
        <v>0</v>
      </c>
      <c r="AD36" s="10"/>
      <c r="AE36" s="10" t="n">
        <v>0</v>
      </c>
    </row>
    <row r="37" s="33" customFormat="true" ht="45.75" hidden="false" customHeight="false" outlineLevel="0" collapsed="false">
      <c r="A37" s="25" t="n">
        <v>20</v>
      </c>
      <c r="B37" s="27" t="s">
        <v>168</v>
      </c>
      <c r="C37" s="27" t="s">
        <v>169</v>
      </c>
      <c r="D37" s="27" t="s">
        <v>42</v>
      </c>
      <c r="E37" s="28" t="n">
        <v>6</v>
      </c>
      <c r="F37" s="29" t="s">
        <v>76</v>
      </c>
      <c r="G37" s="25" t="s">
        <v>35</v>
      </c>
      <c r="H37" s="30" t="n">
        <v>0</v>
      </c>
      <c r="I37" s="27" t="n">
        <v>3</v>
      </c>
      <c r="J37" s="27" t="n">
        <v>500</v>
      </c>
      <c r="K37" s="25" t="n">
        <v>-18.1551314</v>
      </c>
      <c r="L37" s="27" t="n">
        <v>-65.4546288</v>
      </c>
      <c r="M37" s="29" t="n">
        <v>0</v>
      </c>
      <c r="N37" s="28" t="n">
        <v>1</v>
      </c>
      <c r="O37" s="28" t="n">
        <v>0</v>
      </c>
      <c r="P37" s="28" t="n">
        <v>0</v>
      </c>
      <c r="Q37" s="28" t="n">
        <v>0</v>
      </c>
      <c r="R37" s="20" t="n">
        <f aca="false">Tableau2[[#This Row],[Nov 2023 (CUIE)]]+Tableau2[[#This Row],[ENE 2024 (Ener)]]+Tableau2[[#This Row],[May 2024 (CUIE)]]+Tableau2[[#This Row],[Nov 2024 (CUIE)]]+Tableau2[[#This Row],[Ene 2025 (CUIE)]]</f>
        <v>1</v>
      </c>
      <c r="S37" s="20" t="n">
        <v>1</v>
      </c>
      <c r="T37" s="20" t="n">
        <v>1</v>
      </c>
      <c r="U37" s="20" t="n">
        <v>0</v>
      </c>
      <c r="V37" s="28"/>
      <c r="W37" s="28" t="s">
        <v>53</v>
      </c>
      <c r="X37" s="31" t="n">
        <v>0</v>
      </c>
      <c r="Y37" s="32" t="n">
        <v>0</v>
      </c>
      <c r="Z37" s="27"/>
      <c r="AA37" s="28"/>
      <c r="AB37" s="27"/>
      <c r="AC37" s="27" t="n">
        <v>0</v>
      </c>
      <c r="AD37" s="27"/>
      <c r="AE37" s="27" t="n">
        <v>0</v>
      </c>
    </row>
    <row r="38" customFormat="false" ht="45.75" hidden="false" customHeight="false" outlineLevel="0" collapsed="false">
      <c r="A38" s="19" t="n">
        <v>21</v>
      </c>
      <c r="B38" s="10" t="s">
        <v>170</v>
      </c>
      <c r="C38" s="10" t="s">
        <v>171</v>
      </c>
      <c r="D38" s="10" t="s">
        <v>42</v>
      </c>
      <c r="E38" s="20" t="n">
        <v>6</v>
      </c>
      <c r="F38" s="8" t="s">
        <v>34</v>
      </c>
      <c r="G38" s="19" t="s">
        <v>35</v>
      </c>
      <c r="H38" s="21" t="n">
        <v>0</v>
      </c>
      <c r="I38" s="10" t="n">
        <v>3</v>
      </c>
      <c r="J38" s="10" t="n">
        <v>0</v>
      </c>
      <c r="K38" s="19" t="n">
        <v>-18.1689709</v>
      </c>
      <c r="L38" s="10" t="n">
        <v>-65.4644003</v>
      </c>
      <c r="M38" s="8" t="n">
        <v>0</v>
      </c>
      <c r="N38" s="20" t="n">
        <v>1</v>
      </c>
      <c r="O38" s="20" t="n">
        <v>1</v>
      </c>
      <c r="P38" s="20" t="n">
        <v>0</v>
      </c>
      <c r="Q38" s="20" t="n">
        <v>0</v>
      </c>
      <c r="R38" s="20" t="n">
        <f aca="false">Tableau2[[#This Row],[Nov 2023 (CUIE)]]+Tableau2[[#This Row],[ENE 2024 (Ener)]]+Tableau2[[#This Row],[May 2024 (CUIE)]]+Tableau2[[#This Row],[Nov 2024 (CUIE)]]+Tableau2[[#This Row],[Ene 2025 (CUIE)]]</f>
        <v>2</v>
      </c>
      <c r="S38" s="20" t="n">
        <v>1</v>
      </c>
      <c r="T38" s="20" t="n">
        <v>1</v>
      </c>
      <c r="U38" s="20" t="n">
        <v>0</v>
      </c>
      <c r="V38" s="20"/>
      <c r="W38" s="20" t="s">
        <v>53</v>
      </c>
      <c r="X38" s="23" t="s">
        <v>172</v>
      </c>
      <c r="Y38" s="47" t="n">
        <v>0</v>
      </c>
      <c r="Z38" s="10"/>
      <c r="AA38" s="20"/>
      <c r="AB38" s="10"/>
      <c r="AC38" s="10" t="n">
        <v>0</v>
      </c>
      <c r="AD38" s="10"/>
      <c r="AE38" s="10" t="n">
        <v>0</v>
      </c>
    </row>
    <row r="39" s="33" customFormat="true" ht="30.75" hidden="false" customHeight="false" outlineLevel="0" collapsed="false">
      <c r="A39" s="25" t="n">
        <v>22</v>
      </c>
      <c r="B39" s="27" t="s">
        <v>170</v>
      </c>
      <c r="C39" s="27" t="s">
        <v>41</v>
      </c>
      <c r="D39" s="27" t="s">
        <v>42</v>
      </c>
      <c r="E39" s="28" t="n">
        <v>4</v>
      </c>
      <c r="F39" s="29" t="s">
        <v>65</v>
      </c>
      <c r="G39" s="25" t="s">
        <v>35</v>
      </c>
      <c r="H39" s="30" t="n">
        <v>0</v>
      </c>
      <c r="I39" s="27" t="n">
        <v>2</v>
      </c>
      <c r="J39" s="27" t="n">
        <v>500</v>
      </c>
      <c r="K39" s="25" t="n">
        <v>-18.1566688</v>
      </c>
      <c r="L39" s="27" t="n">
        <v>-65.4591767</v>
      </c>
      <c r="M39" s="29" t="n">
        <v>0</v>
      </c>
      <c r="N39" s="28" t="n">
        <v>0</v>
      </c>
      <c r="O39" s="28" t="n">
        <v>0</v>
      </c>
      <c r="P39" s="28" t="n">
        <v>0</v>
      </c>
      <c r="Q39" s="28" t="n">
        <v>0</v>
      </c>
      <c r="R39" s="20" t="n">
        <f aca="false">Tableau2[[#This Row],[Nov 2023 (CUIE)]]+Tableau2[[#This Row],[ENE 2024 (Ener)]]+Tableau2[[#This Row],[May 2024 (CUIE)]]+Tableau2[[#This Row],[Nov 2024 (CUIE)]]+Tableau2[[#This Row],[Ene 2025 (CUIE)]]</f>
        <v>0</v>
      </c>
      <c r="S39" s="20" t="n">
        <v>1</v>
      </c>
      <c r="T39" s="20" t="n">
        <v>0</v>
      </c>
      <c r="U39" s="20" t="n">
        <v>0</v>
      </c>
      <c r="V39" s="28"/>
      <c r="W39" s="28"/>
      <c r="X39" s="31" t="n">
        <v>0</v>
      </c>
      <c r="Y39" s="32" t="n">
        <v>0</v>
      </c>
      <c r="Z39" s="27"/>
      <c r="AA39" s="28"/>
      <c r="AB39" s="27"/>
      <c r="AC39" s="27" t="n">
        <v>0</v>
      </c>
      <c r="AD39" s="27"/>
      <c r="AE39" s="27" t="n">
        <v>0</v>
      </c>
    </row>
    <row r="40" customFormat="false" ht="91.5" hidden="false" customHeight="false" outlineLevel="0" collapsed="false">
      <c r="A40" s="19" t="n">
        <v>94</v>
      </c>
      <c r="B40" s="10" t="s">
        <v>173</v>
      </c>
      <c r="C40" s="10" t="s">
        <v>174</v>
      </c>
      <c r="D40" s="10" t="s">
        <v>33</v>
      </c>
      <c r="E40" s="20" t="n">
        <v>3</v>
      </c>
      <c r="F40" s="8" t="s">
        <v>65</v>
      </c>
      <c r="G40" s="19" t="s">
        <v>35</v>
      </c>
      <c r="H40" s="21" t="n">
        <v>0</v>
      </c>
      <c r="I40" s="10" t="n">
        <v>2</v>
      </c>
      <c r="J40" s="10" t="n">
        <v>0</v>
      </c>
      <c r="K40" s="19" t="n">
        <v>-18.1412514</v>
      </c>
      <c r="L40" s="10" t="n">
        <v>-65.5051798</v>
      </c>
      <c r="M40" s="8" t="n">
        <v>0</v>
      </c>
      <c r="N40" s="20" t="n">
        <v>1</v>
      </c>
      <c r="O40" s="20" t="n">
        <v>1</v>
      </c>
      <c r="P40" s="20" t="n">
        <v>1</v>
      </c>
      <c r="Q40" s="20" t="n">
        <v>0</v>
      </c>
      <c r="R40" s="20" t="n">
        <f aca="false">Tableau2[[#This Row],[Nov 2023 (CUIE)]]+Tableau2[[#This Row],[ENE 2024 (Ener)]]+Tableau2[[#This Row],[May 2024 (CUIE)]]+Tableau2[[#This Row],[Nov 2024 (CUIE)]]+Tableau2[[#This Row],[Ene 2025 (CUIE)]]</f>
        <v>3</v>
      </c>
      <c r="S40" s="20" t="n">
        <v>1</v>
      </c>
      <c r="T40" s="20" t="n">
        <v>1</v>
      </c>
      <c r="U40" s="20" t="n">
        <v>1</v>
      </c>
      <c r="V40" s="20"/>
      <c r="W40" s="22" t="s">
        <v>175</v>
      </c>
      <c r="X40" s="23" t="s">
        <v>37</v>
      </c>
      <c r="Y40" s="23" t="s">
        <v>176</v>
      </c>
      <c r="Z40" s="10" t="s">
        <v>39</v>
      </c>
      <c r="AA40" s="20"/>
      <c r="AB40" s="10"/>
      <c r="AC40" s="10" t="n">
        <v>0</v>
      </c>
      <c r="AD40" s="10"/>
      <c r="AE40" s="10" t="n">
        <v>0</v>
      </c>
    </row>
    <row r="41" s="33" customFormat="true" ht="45.75" hidden="false" customHeight="false" outlineLevel="0" collapsed="false">
      <c r="A41" s="25" t="n">
        <v>68</v>
      </c>
      <c r="B41" s="27" t="s">
        <v>177</v>
      </c>
      <c r="C41" s="27" t="s">
        <v>178</v>
      </c>
      <c r="D41" s="27" t="s">
        <v>51</v>
      </c>
      <c r="E41" s="28" t="n">
        <v>9</v>
      </c>
      <c r="F41" s="29" t="s">
        <v>60</v>
      </c>
      <c r="G41" s="25" t="s">
        <v>35</v>
      </c>
      <c r="H41" s="30" t="n">
        <v>0</v>
      </c>
      <c r="I41" s="27" t="n">
        <v>2</v>
      </c>
      <c r="J41" s="27" t="n">
        <v>200</v>
      </c>
      <c r="K41" s="25" t="n">
        <v>-18.2478847</v>
      </c>
      <c r="L41" s="27" t="n">
        <v>-65.3344861</v>
      </c>
      <c r="M41" s="29" t="n">
        <v>0</v>
      </c>
      <c r="N41" s="28" t="n">
        <v>1</v>
      </c>
      <c r="O41" s="28" t="n">
        <v>0</v>
      </c>
      <c r="P41" s="28" t="n">
        <v>0</v>
      </c>
      <c r="Q41" s="28" t="n">
        <v>0</v>
      </c>
      <c r="R41" s="20" t="n">
        <f aca="false">Tableau2[[#This Row],[Nov 2023 (CUIE)]]+Tableau2[[#This Row],[ENE 2024 (Ener)]]+Tableau2[[#This Row],[May 2024 (CUIE)]]+Tableau2[[#This Row],[Nov 2024 (CUIE)]]+Tableau2[[#This Row],[Ene 2025 (CUIE)]]</f>
        <v>1</v>
      </c>
      <c r="S41" s="20" t="n">
        <v>1</v>
      </c>
      <c r="T41" s="20" t="n">
        <v>0</v>
      </c>
      <c r="U41" s="20" t="n">
        <v>0</v>
      </c>
      <c r="V41" s="28"/>
      <c r="W41" s="34" t="s">
        <v>179</v>
      </c>
      <c r="X41" s="31" t="n">
        <v>0</v>
      </c>
      <c r="Y41" s="32" t="n">
        <v>0</v>
      </c>
      <c r="Z41" s="27"/>
      <c r="AA41" s="28"/>
      <c r="AB41" s="27"/>
      <c r="AC41" s="27" t="n">
        <v>0</v>
      </c>
      <c r="AD41" s="27"/>
      <c r="AE41" s="27" t="n">
        <v>0</v>
      </c>
    </row>
    <row r="42" customFormat="false" ht="45.75" hidden="false" customHeight="false" outlineLevel="0" collapsed="false">
      <c r="A42" s="19" t="n">
        <v>23</v>
      </c>
      <c r="B42" s="10" t="s">
        <v>180</v>
      </c>
      <c r="C42" s="10" t="s">
        <v>181</v>
      </c>
      <c r="D42" s="10" t="s">
        <v>42</v>
      </c>
      <c r="E42" s="20" t="n">
        <v>4</v>
      </c>
      <c r="F42" s="8" t="s">
        <v>65</v>
      </c>
      <c r="G42" s="19" t="s">
        <v>61</v>
      </c>
      <c r="H42" s="21" t="s">
        <v>182</v>
      </c>
      <c r="I42" s="10" t="n">
        <v>4</v>
      </c>
      <c r="J42" s="10" t="n">
        <v>200</v>
      </c>
      <c r="K42" s="19" t="n">
        <v>-18.1559042</v>
      </c>
      <c r="L42" s="10" t="n">
        <v>-65.458997</v>
      </c>
      <c r="M42" s="8" t="n">
        <v>1</v>
      </c>
      <c r="N42" s="20" t="n">
        <v>0</v>
      </c>
      <c r="O42" s="20" t="n">
        <v>0</v>
      </c>
      <c r="P42" s="20" t="n">
        <v>1</v>
      </c>
      <c r="Q42" s="20" t="n">
        <v>0</v>
      </c>
      <c r="R42" s="20" t="n">
        <f aca="false">Tableau2[[#This Row],[Nov 2023 (CUIE)]]+Tableau2[[#This Row],[ENE 2024 (Ener)]]+Tableau2[[#This Row],[May 2024 (CUIE)]]+Tableau2[[#This Row],[Nov 2024 (CUIE)]]+Tableau2[[#This Row],[Ene 2025 (CUIE)]]</f>
        <v>2</v>
      </c>
      <c r="S42" s="20" t="n">
        <v>1</v>
      </c>
      <c r="T42" s="20" t="n">
        <v>1</v>
      </c>
      <c r="U42" s="20" t="n">
        <v>1</v>
      </c>
      <c r="V42" s="20"/>
      <c r="W42" s="20"/>
      <c r="X42" s="23" t="s">
        <v>37</v>
      </c>
      <c r="Y42" s="23" t="s">
        <v>183</v>
      </c>
      <c r="Z42" s="10"/>
      <c r="AA42" s="20"/>
      <c r="AB42" s="10"/>
      <c r="AC42" s="10" t="n">
        <v>0</v>
      </c>
      <c r="AD42" s="10"/>
      <c r="AE42" s="10" t="n">
        <v>0</v>
      </c>
    </row>
    <row r="43" customFormat="false" ht="106.5" hidden="false" customHeight="false" outlineLevel="0" collapsed="false">
      <c r="A43" s="19" t="n">
        <v>69</v>
      </c>
      <c r="B43" s="10" t="s">
        <v>184</v>
      </c>
      <c r="C43" s="10" t="s">
        <v>144</v>
      </c>
      <c r="D43" s="10" t="s">
        <v>51</v>
      </c>
      <c r="E43" s="20" t="n">
        <v>7</v>
      </c>
      <c r="F43" s="8" t="s">
        <v>76</v>
      </c>
      <c r="G43" s="19" t="s">
        <v>61</v>
      </c>
      <c r="H43" s="21" t="s">
        <v>185</v>
      </c>
      <c r="I43" s="10" t="n">
        <v>3</v>
      </c>
      <c r="J43" s="10" t="n">
        <v>200</v>
      </c>
      <c r="K43" s="19" t="n">
        <v>-18.2308452</v>
      </c>
      <c r="L43" s="10" t="n">
        <v>-65.3459123</v>
      </c>
      <c r="M43" s="8" t="n">
        <v>0</v>
      </c>
      <c r="N43" s="20" t="n">
        <v>0</v>
      </c>
      <c r="O43" s="20" t="n">
        <v>0</v>
      </c>
      <c r="P43" s="20" t="n">
        <v>1</v>
      </c>
      <c r="Q43" s="20" t="n">
        <v>0</v>
      </c>
      <c r="R43" s="20" t="n">
        <f aca="false">Tableau2[[#This Row],[Nov 2023 (CUIE)]]+Tableau2[[#This Row],[ENE 2024 (Ener)]]+Tableau2[[#This Row],[May 2024 (CUIE)]]+Tableau2[[#This Row],[Nov 2024 (CUIE)]]+Tableau2[[#This Row],[Ene 2025 (CUIE)]]</f>
        <v>1</v>
      </c>
      <c r="S43" s="20" t="n">
        <v>1</v>
      </c>
      <c r="T43" s="36" t="n">
        <v>1</v>
      </c>
      <c r="U43" s="20" t="n">
        <v>1</v>
      </c>
      <c r="V43" s="20"/>
      <c r="W43" s="20"/>
      <c r="X43" s="23" t="n">
        <v>0</v>
      </c>
      <c r="Y43" s="49" t="s">
        <v>186</v>
      </c>
      <c r="Z43" s="10" t="s">
        <v>187</v>
      </c>
      <c r="AA43" s="20"/>
      <c r="AB43" s="10"/>
      <c r="AC43" s="10" t="n">
        <v>0</v>
      </c>
      <c r="AD43" s="10"/>
      <c r="AE43" s="10" t="n">
        <v>0</v>
      </c>
    </row>
    <row r="44" customFormat="false" ht="15" hidden="false" customHeight="false" outlineLevel="0" collapsed="false">
      <c r="A44" s="19" t="n">
        <v>48</v>
      </c>
      <c r="B44" s="10" t="s">
        <v>188</v>
      </c>
      <c r="C44" s="10" t="s">
        <v>189</v>
      </c>
      <c r="D44" s="10" t="s">
        <v>59</v>
      </c>
      <c r="E44" s="20" t="n">
        <v>2</v>
      </c>
      <c r="F44" s="8" t="s">
        <v>125</v>
      </c>
      <c r="G44" s="19" t="s">
        <v>35</v>
      </c>
      <c r="H44" s="21" t="n">
        <v>0</v>
      </c>
      <c r="I44" s="10" t="n">
        <v>3</v>
      </c>
      <c r="J44" s="10" t="n">
        <v>400</v>
      </c>
      <c r="K44" s="19" t="n">
        <v>-18.139559</v>
      </c>
      <c r="L44" s="10" t="n">
        <v>-65.4578641</v>
      </c>
      <c r="M44" s="8" t="n">
        <v>0</v>
      </c>
      <c r="N44" s="20" t="n">
        <v>0</v>
      </c>
      <c r="O44" s="20" t="n">
        <v>1</v>
      </c>
      <c r="P44" s="20" t="n">
        <v>0</v>
      </c>
      <c r="Q44" s="20" t="n">
        <v>0</v>
      </c>
      <c r="R44" s="20" t="n">
        <f aca="false">Tableau2[[#This Row],[Nov 2023 (CUIE)]]+Tableau2[[#This Row],[ENE 2024 (Ener)]]+Tableau2[[#This Row],[May 2024 (CUIE)]]+Tableau2[[#This Row],[Nov 2024 (CUIE)]]+Tableau2[[#This Row],[Ene 2025 (CUIE)]]</f>
        <v>1</v>
      </c>
      <c r="S44" s="20" t="n">
        <v>1</v>
      </c>
      <c r="T44" s="20" t="n">
        <v>1</v>
      </c>
      <c r="U44" s="20" t="n">
        <v>0</v>
      </c>
      <c r="V44" s="20"/>
      <c r="W44" s="20"/>
      <c r="X44" s="23" t="s">
        <v>127</v>
      </c>
      <c r="Y44" s="47" t="n">
        <v>0</v>
      </c>
      <c r="Z44" s="10"/>
      <c r="AA44" s="20"/>
      <c r="AB44" s="10"/>
      <c r="AC44" s="10" t="n">
        <v>0</v>
      </c>
      <c r="AD44" s="10"/>
      <c r="AE44" s="10" t="n">
        <v>0</v>
      </c>
    </row>
    <row r="45" customFormat="false" ht="30.75" hidden="false" customHeight="false" outlineLevel="0" collapsed="false">
      <c r="A45" s="19" t="n">
        <v>49</v>
      </c>
      <c r="B45" s="10" t="s">
        <v>188</v>
      </c>
      <c r="C45" s="10" t="s">
        <v>190</v>
      </c>
      <c r="D45" s="10" t="s">
        <v>59</v>
      </c>
      <c r="E45" s="20" t="n">
        <v>3</v>
      </c>
      <c r="F45" s="8" t="s">
        <v>47</v>
      </c>
      <c r="G45" s="19" t="s">
        <v>35</v>
      </c>
      <c r="H45" s="21" t="n">
        <v>0</v>
      </c>
      <c r="I45" s="10" t="n">
        <v>3</v>
      </c>
      <c r="J45" s="10" t="n">
        <v>200</v>
      </c>
      <c r="K45" s="19" t="n">
        <v>-18.1479468</v>
      </c>
      <c r="L45" s="10" t="n">
        <v>-65.4422175</v>
      </c>
      <c r="M45" s="8" t="n">
        <v>0</v>
      </c>
      <c r="N45" s="20" t="n">
        <v>0</v>
      </c>
      <c r="O45" s="20" t="n">
        <v>1</v>
      </c>
      <c r="P45" s="20" t="n">
        <v>0</v>
      </c>
      <c r="Q45" s="20" t="n">
        <v>0</v>
      </c>
      <c r="R45" s="20" t="n">
        <f aca="false">Tableau2[[#This Row],[Nov 2023 (CUIE)]]+Tableau2[[#This Row],[ENE 2024 (Ener)]]+Tableau2[[#This Row],[May 2024 (CUIE)]]+Tableau2[[#This Row],[Nov 2024 (CUIE)]]+Tableau2[[#This Row],[Ene 2025 (CUIE)]]</f>
        <v>1</v>
      </c>
      <c r="S45" s="20" t="n">
        <v>1</v>
      </c>
      <c r="T45" s="20" t="n">
        <v>1</v>
      </c>
      <c r="U45" s="20" t="n">
        <v>0</v>
      </c>
      <c r="V45" s="20"/>
      <c r="W45" s="20"/>
      <c r="X45" s="23" t="s">
        <v>191</v>
      </c>
      <c r="Y45" s="47" t="n">
        <v>0</v>
      </c>
      <c r="Z45" s="10"/>
      <c r="AA45" s="22" t="s">
        <v>192</v>
      </c>
      <c r="AB45" s="10"/>
      <c r="AC45" s="10" t="n">
        <v>0</v>
      </c>
      <c r="AD45" s="10"/>
      <c r="AE45" s="10" t="n">
        <v>0</v>
      </c>
    </row>
    <row r="46" s="33" customFormat="true" ht="60.75" hidden="false" customHeight="false" outlineLevel="0" collapsed="false">
      <c r="A46" s="25" t="n">
        <v>24</v>
      </c>
      <c r="B46" s="27" t="s">
        <v>193</v>
      </c>
      <c r="C46" s="27" t="s">
        <v>194</v>
      </c>
      <c r="D46" s="27" t="s">
        <v>42</v>
      </c>
      <c r="E46" s="28" t="n">
        <v>4</v>
      </c>
      <c r="F46" s="29" t="s">
        <v>65</v>
      </c>
      <c r="G46" s="25" t="s">
        <v>35</v>
      </c>
      <c r="H46" s="30" t="n">
        <v>0</v>
      </c>
      <c r="I46" s="27" t="n">
        <v>3</v>
      </c>
      <c r="J46" s="27" t="n">
        <v>300</v>
      </c>
      <c r="K46" s="25" t="n">
        <v>-18.1555066</v>
      </c>
      <c r="L46" s="27" t="n">
        <v>-65.4587583</v>
      </c>
      <c r="M46" s="29" t="n">
        <v>0</v>
      </c>
      <c r="N46" s="28" t="n">
        <v>1</v>
      </c>
      <c r="O46" s="28" t="n">
        <v>0</v>
      </c>
      <c r="P46" s="28" t="n">
        <v>0</v>
      </c>
      <c r="Q46" s="28" t="n">
        <v>0</v>
      </c>
      <c r="R46" s="20" t="n">
        <f aca="false">Tableau2[[#This Row],[Nov 2023 (CUIE)]]+Tableau2[[#This Row],[ENE 2024 (Ener)]]+Tableau2[[#This Row],[May 2024 (CUIE)]]+Tableau2[[#This Row],[Nov 2024 (CUIE)]]+Tableau2[[#This Row],[Ene 2025 (CUIE)]]</f>
        <v>1</v>
      </c>
      <c r="S46" s="20" t="n">
        <v>1</v>
      </c>
      <c r="T46" s="20" t="n">
        <v>0</v>
      </c>
      <c r="U46" s="20" t="n">
        <v>0</v>
      </c>
      <c r="V46" s="28"/>
      <c r="W46" s="34" t="s">
        <v>195</v>
      </c>
      <c r="X46" s="31" t="n">
        <v>0</v>
      </c>
      <c r="Y46" s="32" t="n">
        <v>0</v>
      </c>
      <c r="Z46" s="27"/>
      <c r="AA46" s="28"/>
      <c r="AB46" s="27"/>
      <c r="AC46" s="27" t="n">
        <v>0</v>
      </c>
      <c r="AD46" s="27"/>
      <c r="AE46" s="27" t="n">
        <v>0</v>
      </c>
    </row>
    <row r="47" s="33" customFormat="true" ht="15" hidden="false" customHeight="false" outlineLevel="0" collapsed="false">
      <c r="A47" s="25" t="n">
        <v>56</v>
      </c>
      <c r="B47" s="27" t="s">
        <v>196</v>
      </c>
      <c r="C47" s="27" t="s">
        <v>197</v>
      </c>
      <c r="D47" s="27" t="s">
        <v>92</v>
      </c>
      <c r="E47" s="28" t="n">
        <v>3</v>
      </c>
      <c r="F47" s="29" t="s">
        <v>52</v>
      </c>
      <c r="G47" s="25" t="s">
        <v>35</v>
      </c>
      <c r="H47" s="30" t="n">
        <v>0</v>
      </c>
      <c r="I47" s="27" t="n">
        <v>4</v>
      </c>
      <c r="J47" s="27" t="n">
        <v>0</v>
      </c>
      <c r="K47" s="25" t="n">
        <v>-18.1469249</v>
      </c>
      <c r="L47" s="27" t="n">
        <v>-65.4042943</v>
      </c>
      <c r="M47" s="29" t="n">
        <v>0</v>
      </c>
      <c r="N47" s="28" t="n">
        <v>0</v>
      </c>
      <c r="O47" s="28" t="n">
        <v>0</v>
      </c>
      <c r="P47" s="28" t="n">
        <v>0</v>
      </c>
      <c r="Q47" s="28" t="n">
        <v>0</v>
      </c>
      <c r="R47" s="20" t="n">
        <f aca="false">Tableau2[[#This Row],[Nov 2023 (CUIE)]]+Tableau2[[#This Row],[ENE 2024 (Ener)]]+Tableau2[[#This Row],[May 2024 (CUIE)]]+Tableau2[[#This Row],[Nov 2024 (CUIE)]]+Tableau2[[#This Row],[Ene 2025 (CUIE)]]</f>
        <v>0</v>
      </c>
      <c r="S47" s="20" t="n">
        <v>1</v>
      </c>
      <c r="T47" s="20" t="n">
        <v>0</v>
      </c>
      <c r="U47" s="20" t="n">
        <v>0</v>
      </c>
      <c r="V47" s="28"/>
      <c r="W47" s="28"/>
      <c r="X47" s="31" t="n">
        <v>0</v>
      </c>
      <c r="Y47" s="32" t="n">
        <v>0</v>
      </c>
      <c r="Z47" s="27"/>
      <c r="AA47" s="28"/>
      <c r="AB47" s="27"/>
      <c r="AC47" s="27" t="n">
        <v>0</v>
      </c>
      <c r="AD47" s="27"/>
      <c r="AE47" s="27" t="n">
        <v>0</v>
      </c>
    </row>
    <row r="48" customFormat="false" ht="30.75" hidden="false" customHeight="false" outlineLevel="0" collapsed="false">
      <c r="A48" s="19" t="n">
        <v>25</v>
      </c>
      <c r="B48" s="10" t="s">
        <v>198</v>
      </c>
      <c r="C48" s="10" t="s">
        <v>199</v>
      </c>
      <c r="D48" s="10" t="s">
        <v>42</v>
      </c>
      <c r="E48" s="20" t="n">
        <v>3</v>
      </c>
      <c r="F48" s="8" t="s">
        <v>65</v>
      </c>
      <c r="G48" s="19" t="s">
        <v>35</v>
      </c>
      <c r="H48" s="21" t="n">
        <v>0</v>
      </c>
      <c r="I48" s="10" t="n">
        <v>4</v>
      </c>
      <c r="J48" s="10" t="n">
        <v>500</v>
      </c>
      <c r="K48" s="19" t="n">
        <v>-18.1496102</v>
      </c>
      <c r="L48" s="10" t="n">
        <v>-65.4724785</v>
      </c>
      <c r="M48" s="8" t="n">
        <v>1</v>
      </c>
      <c r="N48" s="20" t="n">
        <v>0</v>
      </c>
      <c r="O48" s="20" t="n">
        <v>1</v>
      </c>
      <c r="P48" s="20" t="n">
        <v>0</v>
      </c>
      <c r="Q48" s="20" t="n">
        <v>0</v>
      </c>
      <c r="R48" s="20" t="n">
        <f aca="false">Tableau2[[#This Row],[Nov 2023 (CUIE)]]+Tableau2[[#This Row],[ENE 2024 (Ener)]]+Tableau2[[#This Row],[May 2024 (CUIE)]]+Tableau2[[#This Row],[Nov 2024 (CUIE)]]+Tableau2[[#This Row],[Ene 2025 (CUIE)]]</f>
        <v>2</v>
      </c>
      <c r="S48" s="20" t="n">
        <v>1</v>
      </c>
      <c r="T48" s="20" t="n">
        <v>1</v>
      </c>
      <c r="U48" s="20" t="n">
        <v>0</v>
      </c>
      <c r="V48" s="20"/>
      <c r="W48" s="20"/>
      <c r="X48" s="23" t="s">
        <v>37</v>
      </c>
      <c r="Y48" s="47" t="n">
        <v>0</v>
      </c>
      <c r="Z48" s="10"/>
      <c r="AA48" s="20"/>
      <c r="AB48" s="10"/>
      <c r="AC48" s="10" t="n">
        <v>0</v>
      </c>
      <c r="AD48" s="10"/>
      <c r="AE48" s="10" t="n">
        <v>0</v>
      </c>
    </row>
    <row r="49" customFormat="false" ht="76.5" hidden="false" customHeight="false" outlineLevel="0" collapsed="false">
      <c r="A49" s="19" t="n">
        <v>26</v>
      </c>
      <c r="B49" s="10" t="s">
        <v>200</v>
      </c>
      <c r="C49" s="10" t="s">
        <v>201</v>
      </c>
      <c r="D49" s="10" t="s">
        <v>42</v>
      </c>
      <c r="E49" s="20" t="n">
        <v>6</v>
      </c>
      <c r="F49" s="8" t="s">
        <v>76</v>
      </c>
      <c r="G49" s="19" t="s">
        <v>35</v>
      </c>
      <c r="H49" s="21" t="n">
        <v>0</v>
      </c>
      <c r="I49" s="10" t="n">
        <v>4</v>
      </c>
      <c r="J49" s="10" t="n">
        <v>200</v>
      </c>
      <c r="K49" s="19" t="n">
        <v>-18.147409</v>
      </c>
      <c r="L49" s="10" t="n">
        <v>-65.4836327</v>
      </c>
      <c r="M49" s="8" t="n">
        <v>1</v>
      </c>
      <c r="N49" s="20" t="n">
        <v>1</v>
      </c>
      <c r="O49" s="20" t="n">
        <v>1</v>
      </c>
      <c r="P49" s="20" t="n">
        <v>0</v>
      </c>
      <c r="Q49" s="20" t="n">
        <v>1</v>
      </c>
      <c r="R49" s="20" t="n">
        <f aca="false">Tableau2[[#This Row],[Nov 2023 (CUIE)]]+Tableau2[[#This Row],[ENE 2024 (Ener)]]+Tableau2[[#This Row],[May 2024 (CUIE)]]+Tableau2[[#This Row],[Nov 2024 (CUIE)]]+Tableau2[[#This Row],[Ene 2025 (CUIE)]]</f>
        <v>4</v>
      </c>
      <c r="S49" s="20" t="n">
        <v>1</v>
      </c>
      <c r="T49" s="20" t="n">
        <v>1</v>
      </c>
      <c r="U49" s="20" t="n">
        <v>1</v>
      </c>
      <c r="V49" s="20"/>
      <c r="W49" s="22" t="s">
        <v>202</v>
      </c>
      <c r="X49" s="23" t="s">
        <v>37</v>
      </c>
      <c r="Y49" s="47" t="n">
        <v>0</v>
      </c>
      <c r="Z49" s="10"/>
      <c r="AA49" s="20"/>
      <c r="AB49" s="8" t="s">
        <v>203</v>
      </c>
      <c r="AC49" s="10" t="n">
        <v>0</v>
      </c>
      <c r="AD49" s="8" t="s">
        <v>204</v>
      </c>
      <c r="AE49" s="10" t="n">
        <v>0</v>
      </c>
    </row>
    <row r="50" customFormat="false" ht="45.75" hidden="false" customHeight="false" outlineLevel="0" collapsed="false">
      <c r="A50" s="19" t="n">
        <v>50</v>
      </c>
      <c r="B50" s="10" t="s">
        <v>205</v>
      </c>
      <c r="C50" s="10" t="s">
        <v>206</v>
      </c>
      <c r="D50" s="10" t="s">
        <v>59</v>
      </c>
      <c r="E50" s="20" t="n">
        <v>2</v>
      </c>
      <c r="F50" s="8" t="s">
        <v>125</v>
      </c>
      <c r="G50" s="19" t="s">
        <v>35</v>
      </c>
      <c r="H50" s="21" t="n">
        <v>0</v>
      </c>
      <c r="I50" s="10" t="n">
        <v>4</v>
      </c>
      <c r="J50" s="10" t="n">
        <v>100</v>
      </c>
      <c r="K50" s="19" t="n">
        <v>-18.1364078</v>
      </c>
      <c r="L50" s="10" t="n">
        <v>-65.4634703</v>
      </c>
      <c r="M50" s="8" t="n">
        <v>0</v>
      </c>
      <c r="N50" s="20" t="n">
        <v>1</v>
      </c>
      <c r="O50" s="20" t="n">
        <v>1</v>
      </c>
      <c r="P50" s="20" t="n">
        <v>0</v>
      </c>
      <c r="Q50" s="20" t="n">
        <v>0</v>
      </c>
      <c r="R50" s="20" t="n">
        <f aca="false">Tableau2[[#This Row],[Nov 2023 (CUIE)]]+Tableau2[[#This Row],[ENE 2024 (Ener)]]+Tableau2[[#This Row],[May 2024 (CUIE)]]+Tableau2[[#This Row],[Nov 2024 (CUIE)]]+Tableau2[[#This Row],[Ene 2025 (CUIE)]]</f>
        <v>2</v>
      </c>
      <c r="S50" s="20" t="n">
        <v>1</v>
      </c>
      <c r="T50" s="20" t="n">
        <v>1</v>
      </c>
      <c r="U50" s="20" t="n">
        <v>0</v>
      </c>
      <c r="V50" s="20"/>
      <c r="W50" s="22" t="s">
        <v>207</v>
      </c>
      <c r="X50" s="23" t="s">
        <v>37</v>
      </c>
      <c r="Y50" s="47" t="n">
        <v>0</v>
      </c>
      <c r="Z50" s="10"/>
      <c r="AA50" s="20"/>
      <c r="AB50" s="10"/>
      <c r="AC50" s="10" t="n">
        <v>0</v>
      </c>
      <c r="AD50" s="10"/>
      <c r="AE50" s="10" t="n">
        <v>0</v>
      </c>
    </row>
    <row r="51" s="33" customFormat="true" ht="15" hidden="false" customHeight="false" outlineLevel="0" collapsed="false">
      <c r="A51" s="25" t="n">
        <v>57</v>
      </c>
      <c r="B51" s="27" t="s">
        <v>208</v>
      </c>
      <c r="C51" s="27" t="s">
        <v>209</v>
      </c>
      <c r="D51" s="27" t="s">
        <v>92</v>
      </c>
      <c r="E51" s="28" t="n">
        <v>3</v>
      </c>
      <c r="F51" s="29" t="s">
        <v>52</v>
      </c>
      <c r="G51" s="25" t="s">
        <v>35</v>
      </c>
      <c r="H51" s="30" t="n">
        <v>0</v>
      </c>
      <c r="I51" s="27" t="n">
        <v>3</v>
      </c>
      <c r="J51" s="27" t="n">
        <v>100</v>
      </c>
      <c r="K51" s="25" t="n">
        <v>-18.1458965</v>
      </c>
      <c r="L51" s="27" t="n">
        <v>-65.4040057</v>
      </c>
      <c r="M51" s="29" t="n">
        <v>0</v>
      </c>
      <c r="N51" s="28" t="n">
        <v>0</v>
      </c>
      <c r="O51" s="28" t="n">
        <v>0</v>
      </c>
      <c r="P51" s="28" t="n">
        <v>0</v>
      </c>
      <c r="Q51" s="28" t="n">
        <v>0</v>
      </c>
      <c r="R51" s="20" t="n">
        <f aca="false">Tableau2[[#This Row],[Nov 2023 (CUIE)]]+Tableau2[[#This Row],[ENE 2024 (Ener)]]+Tableau2[[#This Row],[May 2024 (CUIE)]]+Tableau2[[#This Row],[Nov 2024 (CUIE)]]+Tableau2[[#This Row],[Ene 2025 (CUIE)]]</f>
        <v>0</v>
      </c>
      <c r="S51" s="20" t="n">
        <v>1</v>
      </c>
      <c r="T51" s="20" t="n">
        <v>0</v>
      </c>
      <c r="U51" s="20" t="n">
        <v>0</v>
      </c>
      <c r="V51" s="28"/>
      <c r="W51" s="28"/>
      <c r="X51" s="31" t="n">
        <v>0</v>
      </c>
      <c r="Y51" s="32" t="n">
        <v>0</v>
      </c>
      <c r="Z51" s="27"/>
      <c r="AA51" s="28"/>
      <c r="AB51" s="27"/>
      <c r="AC51" s="27" t="n">
        <v>0</v>
      </c>
      <c r="AD51" s="27"/>
      <c r="AE51" s="27" t="n">
        <v>0</v>
      </c>
    </row>
    <row r="52" s="33" customFormat="true" ht="30.75" hidden="false" customHeight="false" outlineLevel="0" collapsed="false">
      <c r="A52" s="25" t="n">
        <v>70</v>
      </c>
      <c r="B52" s="27" t="s">
        <v>208</v>
      </c>
      <c r="C52" s="27" t="s">
        <v>210</v>
      </c>
      <c r="D52" s="27" t="s">
        <v>51</v>
      </c>
      <c r="E52" s="28" t="n">
        <v>4</v>
      </c>
      <c r="F52" s="29" t="s">
        <v>65</v>
      </c>
      <c r="G52" s="25" t="s">
        <v>35</v>
      </c>
      <c r="H52" s="30" t="n">
        <v>0</v>
      </c>
      <c r="I52" s="27" t="n">
        <v>4</v>
      </c>
      <c r="J52" s="27" t="n">
        <v>200</v>
      </c>
      <c r="K52" s="25" t="n">
        <v>-18.2307028</v>
      </c>
      <c r="L52" s="27" t="n">
        <v>-65.3470708</v>
      </c>
      <c r="M52" s="29" t="n">
        <v>0</v>
      </c>
      <c r="N52" s="28" t="n">
        <v>0</v>
      </c>
      <c r="O52" s="28" t="n">
        <v>0</v>
      </c>
      <c r="P52" s="28" t="n">
        <v>0</v>
      </c>
      <c r="Q52" s="28" t="n">
        <v>0</v>
      </c>
      <c r="R52" s="20" t="n">
        <f aca="false">Tableau2[[#This Row],[Nov 2023 (CUIE)]]+Tableau2[[#This Row],[ENE 2024 (Ener)]]+Tableau2[[#This Row],[May 2024 (CUIE)]]+Tableau2[[#This Row],[Nov 2024 (CUIE)]]+Tableau2[[#This Row],[Ene 2025 (CUIE)]]</f>
        <v>0</v>
      </c>
      <c r="S52" s="20" t="n">
        <v>1</v>
      </c>
      <c r="T52" s="20" t="n">
        <v>0</v>
      </c>
      <c r="U52" s="20" t="n">
        <v>0</v>
      </c>
      <c r="V52" s="28"/>
      <c r="W52" s="28"/>
      <c r="X52" s="31" t="n">
        <v>0</v>
      </c>
      <c r="Y52" s="32" t="n">
        <v>0</v>
      </c>
      <c r="Z52" s="27"/>
      <c r="AA52" s="28"/>
      <c r="AB52" s="27"/>
      <c r="AC52" s="27" t="n">
        <v>0</v>
      </c>
      <c r="AD52" s="27"/>
      <c r="AE52" s="27" t="n">
        <v>0</v>
      </c>
    </row>
    <row r="53" s="46" customFormat="true" ht="60.75" hidden="false" customHeight="false" outlineLevel="0" collapsed="false">
      <c r="A53" s="38" t="n">
        <v>71</v>
      </c>
      <c r="B53" s="39" t="s">
        <v>211</v>
      </c>
      <c r="C53" s="39" t="s">
        <v>212</v>
      </c>
      <c r="D53" s="39" t="s">
        <v>51</v>
      </c>
      <c r="E53" s="40" t="n">
        <v>8</v>
      </c>
      <c r="F53" s="41" t="s">
        <v>60</v>
      </c>
      <c r="G53" s="38" t="s">
        <v>35</v>
      </c>
      <c r="H53" s="42" t="n">
        <v>0</v>
      </c>
      <c r="I53" s="39" t="n">
        <v>2</v>
      </c>
      <c r="J53" s="39" t="n">
        <v>300</v>
      </c>
      <c r="K53" s="38" t="n">
        <v>-18.2387738</v>
      </c>
      <c r="L53" s="39" t="n">
        <v>-65.3443393</v>
      </c>
      <c r="M53" s="41" t="n">
        <v>0</v>
      </c>
      <c r="N53" s="40" t="n">
        <v>1</v>
      </c>
      <c r="O53" s="40" t="n">
        <v>1</v>
      </c>
      <c r="P53" s="40" t="n">
        <v>0</v>
      </c>
      <c r="Q53" s="40" t="n">
        <v>1</v>
      </c>
      <c r="R53" s="40" t="n">
        <f aca="false">Tableau2[[#This Row],[Nov 2023 (CUIE)]]+Tableau2[[#This Row],[ENE 2024 (Ener)]]+Tableau2[[#This Row],[May 2024 (CUIE)]]+Tableau2[[#This Row],[Nov 2024 (CUIE)]]+Tableau2[[#This Row],[Ene 2025 (CUIE)]]</f>
        <v>3</v>
      </c>
      <c r="S53" s="40" t="n">
        <v>1</v>
      </c>
      <c r="T53" s="40" t="n">
        <v>1</v>
      </c>
      <c r="U53" s="40" t="n">
        <v>0</v>
      </c>
      <c r="V53" s="40"/>
      <c r="W53" s="43" t="s">
        <v>213</v>
      </c>
      <c r="X53" s="44" t="s">
        <v>104</v>
      </c>
      <c r="Y53" s="45" t="n">
        <v>0</v>
      </c>
      <c r="Z53" s="39"/>
      <c r="AA53" s="20"/>
      <c r="AB53" s="41" t="s">
        <v>214</v>
      </c>
      <c r="AC53" s="39" t="n">
        <v>1</v>
      </c>
      <c r="AD53" s="41" t="s">
        <v>215</v>
      </c>
      <c r="AE53" s="39" t="n">
        <v>1</v>
      </c>
    </row>
    <row r="54" s="46" customFormat="true" ht="60.75" hidden="false" customHeight="false" outlineLevel="0" collapsed="false">
      <c r="A54" s="38" t="n">
        <v>72</v>
      </c>
      <c r="B54" s="39" t="s">
        <v>216</v>
      </c>
      <c r="C54" s="39" t="s">
        <v>131</v>
      </c>
      <c r="D54" s="39" t="s">
        <v>51</v>
      </c>
      <c r="E54" s="40" t="n">
        <v>5</v>
      </c>
      <c r="F54" s="41" t="s">
        <v>34</v>
      </c>
      <c r="G54" s="38" t="s">
        <v>61</v>
      </c>
      <c r="H54" s="42" t="s">
        <v>217</v>
      </c>
      <c r="I54" s="39" t="n">
        <v>2</v>
      </c>
      <c r="J54" s="39" t="n">
        <v>0</v>
      </c>
      <c r="K54" s="38" t="n">
        <v>-18.2364929</v>
      </c>
      <c r="L54" s="39" t="n">
        <v>-65.3430108</v>
      </c>
      <c r="M54" s="41" t="n">
        <v>1</v>
      </c>
      <c r="N54" s="40" t="n">
        <v>1</v>
      </c>
      <c r="O54" s="40" t="n">
        <v>0</v>
      </c>
      <c r="P54" s="40" t="n">
        <v>0</v>
      </c>
      <c r="Q54" s="40" t="n">
        <v>1</v>
      </c>
      <c r="R54" s="40" t="n">
        <f aca="false">Tableau2[[#This Row],[Nov 2023 (CUIE)]]+Tableau2[[#This Row],[ENE 2024 (Ener)]]+Tableau2[[#This Row],[May 2024 (CUIE)]]+Tableau2[[#This Row],[Nov 2024 (CUIE)]]+Tableau2[[#This Row],[Ene 2025 (CUIE)]]</f>
        <v>3</v>
      </c>
      <c r="S54" s="40" t="n">
        <v>1</v>
      </c>
      <c r="T54" s="40" t="n">
        <v>1</v>
      </c>
      <c r="U54" s="40" t="n">
        <v>0</v>
      </c>
      <c r="V54" s="40"/>
      <c r="W54" s="43" t="s">
        <v>218</v>
      </c>
      <c r="X54" s="44" t="s">
        <v>219</v>
      </c>
      <c r="Y54" s="45" t="n">
        <v>0</v>
      </c>
      <c r="Z54" s="39"/>
      <c r="AA54" s="20"/>
      <c r="AB54" s="41" t="s">
        <v>220</v>
      </c>
      <c r="AC54" s="39" t="n">
        <v>1</v>
      </c>
      <c r="AD54" s="41" t="s">
        <v>221</v>
      </c>
      <c r="AE54" s="39" t="n">
        <v>1</v>
      </c>
    </row>
    <row r="55" customFormat="false" ht="76.5" hidden="false" customHeight="false" outlineLevel="0" collapsed="false">
      <c r="A55" s="19" t="n">
        <v>95</v>
      </c>
      <c r="B55" s="10" t="s">
        <v>216</v>
      </c>
      <c r="C55" s="10" t="s">
        <v>222</v>
      </c>
      <c r="D55" s="10" t="s">
        <v>33</v>
      </c>
      <c r="E55" s="20" t="n">
        <v>6</v>
      </c>
      <c r="F55" s="8" t="s">
        <v>76</v>
      </c>
      <c r="G55" s="19" t="s">
        <v>35</v>
      </c>
      <c r="H55" s="21" t="n">
        <v>0</v>
      </c>
      <c r="I55" s="10" t="n">
        <v>3</v>
      </c>
      <c r="J55" s="10" t="n">
        <v>200</v>
      </c>
      <c r="K55" s="19" t="n">
        <v>-18.1361779</v>
      </c>
      <c r="L55" s="10" t="n">
        <v>-65.517606</v>
      </c>
      <c r="M55" s="8" t="n">
        <v>0</v>
      </c>
      <c r="N55" s="20" t="n">
        <v>1</v>
      </c>
      <c r="O55" s="20" t="n">
        <v>1</v>
      </c>
      <c r="P55" s="20" t="n">
        <v>1</v>
      </c>
      <c r="Q55" s="20" t="n">
        <v>0</v>
      </c>
      <c r="R55" s="20" t="n">
        <f aca="false">Tableau2[[#This Row],[Nov 2023 (CUIE)]]+Tableau2[[#This Row],[ENE 2024 (Ener)]]+Tableau2[[#This Row],[May 2024 (CUIE)]]+Tableau2[[#This Row],[Nov 2024 (CUIE)]]+Tableau2[[#This Row],[Ene 2025 (CUIE)]]</f>
        <v>3</v>
      </c>
      <c r="S55" s="20" t="n">
        <v>1</v>
      </c>
      <c r="T55" s="20" t="n">
        <v>1</v>
      </c>
      <c r="U55" s="20" t="n">
        <v>1</v>
      </c>
      <c r="V55" s="20"/>
      <c r="W55" s="22" t="s">
        <v>223</v>
      </c>
      <c r="X55" s="23" t="s">
        <v>104</v>
      </c>
      <c r="Y55" s="47" t="n">
        <v>0</v>
      </c>
      <c r="Z55" s="10"/>
      <c r="AA55" s="20"/>
      <c r="AB55" s="10"/>
      <c r="AC55" s="10" t="n">
        <v>0</v>
      </c>
      <c r="AD55" s="10"/>
      <c r="AE55" s="10" t="n">
        <v>0</v>
      </c>
    </row>
    <row r="56" s="46" customFormat="true" ht="60.75" hidden="false" customHeight="false" outlineLevel="0" collapsed="false">
      <c r="A56" s="38" t="n">
        <v>96</v>
      </c>
      <c r="B56" s="39" t="s">
        <v>216</v>
      </c>
      <c r="C56" s="39" t="s">
        <v>224</v>
      </c>
      <c r="D56" s="39" t="s">
        <v>33</v>
      </c>
      <c r="E56" s="40" t="n">
        <v>4</v>
      </c>
      <c r="F56" s="41" t="s">
        <v>34</v>
      </c>
      <c r="G56" s="38" t="s">
        <v>35</v>
      </c>
      <c r="H56" s="42" t="n">
        <v>0</v>
      </c>
      <c r="I56" s="39" t="n">
        <v>4</v>
      </c>
      <c r="J56" s="39" t="n">
        <v>100</v>
      </c>
      <c r="K56" s="38" t="n">
        <v>-18.1372578</v>
      </c>
      <c r="L56" s="39" t="n">
        <v>-65.5018355</v>
      </c>
      <c r="M56" s="41" t="n">
        <v>0</v>
      </c>
      <c r="N56" s="40" t="n">
        <v>1</v>
      </c>
      <c r="O56" s="40" t="n">
        <v>1</v>
      </c>
      <c r="P56" s="40" t="n">
        <v>0</v>
      </c>
      <c r="Q56" s="40" t="n">
        <v>1</v>
      </c>
      <c r="R56" s="40" t="n">
        <f aca="false">Tableau2[[#This Row],[Nov 2023 (CUIE)]]+Tableau2[[#This Row],[ENE 2024 (Ener)]]+Tableau2[[#This Row],[May 2024 (CUIE)]]+Tableau2[[#This Row],[Nov 2024 (CUIE)]]+Tableau2[[#This Row],[Ene 2025 (CUIE)]]</f>
        <v>3</v>
      </c>
      <c r="S56" s="40" t="n">
        <v>1</v>
      </c>
      <c r="T56" s="40" t="n">
        <v>1</v>
      </c>
      <c r="U56" s="40" t="n">
        <v>0</v>
      </c>
      <c r="V56" s="40"/>
      <c r="W56" s="43" t="s">
        <v>225</v>
      </c>
      <c r="X56" s="44" t="s">
        <v>104</v>
      </c>
      <c r="Y56" s="45" t="n">
        <v>0</v>
      </c>
      <c r="Z56" s="39" t="s">
        <v>39</v>
      </c>
      <c r="AA56" s="40"/>
      <c r="AB56" s="41" t="s">
        <v>226</v>
      </c>
      <c r="AC56" s="39" t="n">
        <v>1</v>
      </c>
      <c r="AD56" s="41" t="s">
        <v>227</v>
      </c>
      <c r="AE56" s="39" t="n">
        <v>1</v>
      </c>
    </row>
    <row r="57" customFormat="false" ht="15" hidden="false" customHeight="false" outlineLevel="0" collapsed="false">
      <c r="A57" s="19" t="n">
        <v>27</v>
      </c>
      <c r="B57" s="10" t="s">
        <v>228</v>
      </c>
      <c r="C57" s="10" t="s">
        <v>229</v>
      </c>
      <c r="D57" s="10" t="s">
        <v>42</v>
      </c>
      <c r="E57" s="20" t="n">
        <v>5</v>
      </c>
      <c r="F57" s="8" t="s">
        <v>34</v>
      </c>
      <c r="G57" s="19" t="s">
        <v>147</v>
      </c>
      <c r="H57" s="50" t="s">
        <v>230</v>
      </c>
      <c r="I57" s="10" t="n">
        <v>5</v>
      </c>
      <c r="J57" s="10" t="n">
        <v>300</v>
      </c>
      <c r="K57" s="19" t="n">
        <v>-18.1683989</v>
      </c>
      <c r="L57" s="10" t="n">
        <v>-65.4671168</v>
      </c>
      <c r="M57" s="8" t="n">
        <v>0</v>
      </c>
      <c r="N57" s="20" t="n">
        <v>0</v>
      </c>
      <c r="O57" s="20" t="n">
        <v>1</v>
      </c>
      <c r="P57" s="20" t="n">
        <v>0</v>
      </c>
      <c r="Q57" s="20" t="n">
        <v>0</v>
      </c>
      <c r="R57" s="20" t="n">
        <f aca="false">Tableau2[[#This Row],[Nov 2023 (CUIE)]]+Tableau2[[#This Row],[ENE 2024 (Ener)]]+Tableau2[[#This Row],[May 2024 (CUIE)]]+Tableau2[[#This Row],[Nov 2024 (CUIE)]]+Tableau2[[#This Row],[Ene 2025 (CUIE)]]</f>
        <v>1</v>
      </c>
      <c r="S57" s="20" t="n">
        <v>1</v>
      </c>
      <c r="T57" s="20" t="n">
        <v>1</v>
      </c>
      <c r="U57" s="20" t="n">
        <v>0</v>
      </c>
      <c r="V57" s="20"/>
      <c r="W57" s="20"/>
      <c r="X57" s="23" t="s">
        <v>104</v>
      </c>
      <c r="Y57" s="47" t="n">
        <v>0</v>
      </c>
      <c r="Z57" s="10"/>
      <c r="AA57" s="20"/>
      <c r="AB57" s="10"/>
      <c r="AC57" s="10" t="n">
        <v>0</v>
      </c>
      <c r="AD57" s="10"/>
      <c r="AE57" s="10" t="n">
        <v>0</v>
      </c>
    </row>
    <row r="58" s="46" customFormat="true" ht="60.75" hidden="false" customHeight="false" outlineLevel="0" collapsed="false">
      <c r="A58" s="38" t="n">
        <v>28</v>
      </c>
      <c r="B58" s="39" t="s">
        <v>231</v>
      </c>
      <c r="C58" s="39" t="s">
        <v>201</v>
      </c>
      <c r="D58" s="39" t="s">
        <v>42</v>
      </c>
      <c r="E58" s="40" t="n">
        <v>3</v>
      </c>
      <c r="F58" s="41" t="s">
        <v>65</v>
      </c>
      <c r="G58" s="38" t="s">
        <v>35</v>
      </c>
      <c r="H58" s="42" t="n">
        <v>0</v>
      </c>
      <c r="I58" s="39" t="n">
        <v>4</v>
      </c>
      <c r="J58" s="39" t="n">
        <v>200</v>
      </c>
      <c r="K58" s="38" t="n">
        <v>-18.1547305</v>
      </c>
      <c r="L58" s="39" t="n">
        <v>-65.4842005</v>
      </c>
      <c r="M58" s="41" t="n">
        <v>1</v>
      </c>
      <c r="N58" s="40" t="n">
        <v>1</v>
      </c>
      <c r="O58" s="40" t="n">
        <v>1</v>
      </c>
      <c r="P58" s="40" t="n">
        <v>0</v>
      </c>
      <c r="Q58" s="40" t="n">
        <v>1</v>
      </c>
      <c r="R58" s="40" t="n">
        <f aca="false">Tableau2[[#This Row],[Nov 2023 (CUIE)]]+Tableau2[[#This Row],[ENE 2024 (Ener)]]+Tableau2[[#This Row],[May 2024 (CUIE)]]+Tableau2[[#This Row],[Nov 2024 (CUIE)]]+Tableau2[[#This Row],[Ene 2025 (CUIE)]]</f>
        <v>4</v>
      </c>
      <c r="S58" s="40" t="n">
        <v>1</v>
      </c>
      <c r="T58" s="40" t="n">
        <v>1</v>
      </c>
      <c r="U58" s="40" t="n">
        <v>0</v>
      </c>
      <c r="V58" s="40"/>
      <c r="W58" s="43" t="s">
        <v>232</v>
      </c>
      <c r="X58" s="44" t="s">
        <v>72</v>
      </c>
      <c r="Y58" s="45" t="n">
        <v>0</v>
      </c>
      <c r="Z58" s="39"/>
      <c r="AA58" s="40"/>
      <c r="AB58" s="41" t="s">
        <v>233</v>
      </c>
      <c r="AC58" s="39" t="n">
        <v>1</v>
      </c>
      <c r="AD58" s="41" t="s">
        <v>234</v>
      </c>
      <c r="AE58" s="39" t="n">
        <v>0</v>
      </c>
    </row>
    <row r="59" s="33" customFormat="true" ht="106.5" hidden="false" customHeight="false" outlineLevel="0" collapsed="false">
      <c r="A59" s="25" t="n">
        <v>29</v>
      </c>
      <c r="B59" s="26" t="s">
        <v>235</v>
      </c>
      <c r="C59" s="27" t="s">
        <v>236</v>
      </c>
      <c r="D59" s="27" t="s">
        <v>42</v>
      </c>
      <c r="E59" s="28" t="n">
        <v>8</v>
      </c>
      <c r="F59" s="29" t="s">
        <v>60</v>
      </c>
      <c r="G59" s="25" t="s">
        <v>35</v>
      </c>
      <c r="H59" s="30" t="n">
        <v>0</v>
      </c>
      <c r="I59" s="27" t="n">
        <v>4</v>
      </c>
      <c r="J59" s="27" t="n">
        <v>300</v>
      </c>
      <c r="K59" s="25" t="n">
        <v>-18.1577996</v>
      </c>
      <c r="L59" s="27" t="n">
        <v>-65.454351</v>
      </c>
      <c r="M59" s="29" t="n">
        <v>0</v>
      </c>
      <c r="N59" s="28" t="n">
        <v>0</v>
      </c>
      <c r="O59" s="28" t="n">
        <v>0</v>
      </c>
      <c r="P59" s="28" t="n">
        <v>0</v>
      </c>
      <c r="Q59" s="28" t="n">
        <v>1</v>
      </c>
      <c r="R59" s="20" t="n">
        <f aca="false">Tableau2[[#This Row],[Nov 2023 (CUIE)]]+Tableau2[[#This Row],[ENE 2024 (Ener)]]+Tableau2[[#This Row],[May 2024 (CUIE)]]+Tableau2[[#This Row],[Nov 2024 (CUIE)]]+Tableau2[[#This Row],[Ene 2025 (CUIE)]]</f>
        <v>1</v>
      </c>
      <c r="S59" s="20" t="n">
        <v>1</v>
      </c>
      <c r="T59" s="20" t="n">
        <v>1</v>
      </c>
      <c r="U59" s="20" t="n">
        <v>0</v>
      </c>
      <c r="V59" s="28"/>
      <c r="W59" s="28"/>
      <c r="X59" s="31" t="n">
        <v>0</v>
      </c>
      <c r="Y59" s="32" t="n">
        <v>0</v>
      </c>
      <c r="Z59" s="27"/>
      <c r="AA59" s="28"/>
      <c r="AB59" s="29" t="s">
        <v>237</v>
      </c>
      <c r="AC59" s="27" t="n">
        <v>0</v>
      </c>
      <c r="AD59" s="27"/>
      <c r="AE59" s="27" t="n">
        <v>0</v>
      </c>
    </row>
    <row r="60" customFormat="false" ht="45.75" hidden="false" customHeight="false" outlineLevel="0" collapsed="false">
      <c r="A60" s="19" t="n">
        <v>73</v>
      </c>
      <c r="B60" s="10" t="s">
        <v>235</v>
      </c>
      <c r="C60" s="10" t="s">
        <v>238</v>
      </c>
      <c r="D60" s="10" t="s">
        <v>51</v>
      </c>
      <c r="E60" s="20" t="n">
        <v>7</v>
      </c>
      <c r="F60" s="8" t="s">
        <v>239</v>
      </c>
      <c r="G60" s="19" t="s">
        <v>35</v>
      </c>
      <c r="H60" s="21" t="n">
        <v>0</v>
      </c>
      <c r="I60" s="10" t="n">
        <v>1</v>
      </c>
      <c r="J60" s="10" t="n">
        <v>300</v>
      </c>
      <c r="K60" s="19" t="n">
        <v>-18.2362581</v>
      </c>
      <c r="L60" s="10" t="n">
        <v>-65.3458015</v>
      </c>
      <c r="M60" s="8" t="n">
        <v>0</v>
      </c>
      <c r="N60" s="20" t="n">
        <v>0</v>
      </c>
      <c r="O60" s="20" t="n">
        <v>1</v>
      </c>
      <c r="P60" s="20" t="n">
        <v>0</v>
      </c>
      <c r="Q60" s="20" t="n">
        <v>1</v>
      </c>
      <c r="R60" s="20" t="n">
        <f aca="false">Tableau2[[#This Row],[Nov 2023 (CUIE)]]+Tableau2[[#This Row],[ENE 2024 (Ener)]]+Tableau2[[#This Row],[May 2024 (CUIE)]]+Tableau2[[#This Row],[Nov 2024 (CUIE)]]+Tableau2[[#This Row],[Ene 2025 (CUIE)]]</f>
        <v>2</v>
      </c>
      <c r="S60" s="20" t="n">
        <v>1</v>
      </c>
      <c r="T60" s="20" t="n">
        <v>0</v>
      </c>
      <c r="U60" s="20" t="n">
        <v>0</v>
      </c>
      <c r="V60" s="20"/>
      <c r="W60" s="20"/>
      <c r="X60" s="23" t="s">
        <v>104</v>
      </c>
      <c r="Y60" s="47" t="n">
        <v>0</v>
      </c>
      <c r="Z60" s="10"/>
      <c r="AA60" s="20"/>
      <c r="AB60" s="8" t="s">
        <v>240</v>
      </c>
      <c r="AC60" s="10" t="n">
        <v>0</v>
      </c>
      <c r="AD60" s="10"/>
      <c r="AE60" s="10" t="n">
        <v>0</v>
      </c>
    </row>
    <row r="61" s="33" customFormat="true" ht="45.75" hidden="false" customHeight="false" outlineLevel="0" collapsed="false">
      <c r="A61" s="25" t="n">
        <v>97</v>
      </c>
      <c r="B61" s="26" t="s">
        <v>241</v>
      </c>
      <c r="C61" s="27" t="s">
        <v>242</v>
      </c>
      <c r="D61" s="27" t="s">
        <v>33</v>
      </c>
      <c r="E61" s="28" t="n">
        <v>2</v>
      </c>
      <c r="F61" s="29" t="s">
        <v>125</v>
      </c>
      <c r="G61" s="25" t="s">
        <v>35</v>
      </c>
      <c r="H61" s="30" t="n">
        <v>0</v>
      </c>
      <c r="I61" s="27" t="n">
        <v>5</v>
      </c>
      <c r="J61" s="27" t="n">
        <v>300</v>
      </c>
      <c r="K61" s="25" t="n">
        <v>-18.1353314</v>
      </c>
      <c r="L61" s="27" t="n">
        <v>-65.4927878</v>
      </c>
      <c r="M61" s="29" t="n">
        <v>0</v>
      </c>
      <c r="N61" s="28" t="n">
        <v>0</v>
      </c>
      <c r="O61" s="28" t="n">
        <v>0</v>
      </c>
      <c r="P61" s="28" t="n">
        <v>0</v>
      </c>
      <c r="Q61" s="28" t="n">
        <v>1</v>
      </c>
      <c r="R61" s="20" t="n">
        <f aca="false">Tableau2[[#This Row],[Nov 2023 (CUIE)]]+Tableau2[[#This Row],[ENE 2024 (Ener)]]+Tableau2[[#This Row],[May 2024 (CUIE)]]+Tableau2[[#This Row],[Nov 2024 (CUIE)]]+Tableau2[[#This Row],[Ene 2025 (CUIE)]]</f>
        <v>1</v>
      </c>
      <c r="S61" s="20" t="n">
        <v>1</v>
      </c>
      <c r="T61" s="20" t="n">
        <v>0</v>
      </c>
      <c r="U61" s="20" t="n">
        <v>0</v>
      </c>
      <c r="V61" s="28"/>
      <c r="W61" s="28"/>
      <c r="X61" s="31" t="n">
        <v>0</v>
      </c>
      <c r="Y61" s="32" t="n">
        <v>0</v>
      </c>
      <c r="Z61" s="27"/>
      <c r="AA61" s="28"/>
      <c r="AB61" s="29" t="s">
        <v>243</v>
      </c>
      <c r="AC61" s="27" t="n">
        <v>0</v>
      </c>
      <c r="AD61" s="27"/>
      <c r="AE61" s="27" t="n">
        <v>0</v>
      </c>
    </row>
    <row r="62" s="46" customFormat="true" ht="60.75" hidden="false" customHeight="false" outlineLevel="0" collapsed="false">
      <c r="A62" s="38" t="n">
        <v>74</v>
      </c>
      <c r="B62" s="39" t="s">
        <v>244</v>
      </c>
      <c r="C62" s="39" t="s">
        <v>245</v>
      </c>
      <c r="D62" s="39" t="s">
        <v>51</v>
      </c>
      <c r="E62" s="40" t="n">
        <v>5</v>
      </c>
      <c r="F62" s="41" t="s">
        <v>65</v>
      </c>
      <c r="G62" s="38" t="s">
        <v>61</v>
      </c>
      <c r="H62" s="42" t="s">
        <v>246</v>
      </c>
      <c r="I62" s="39" t="n">
        <v>3</v>
      </c>
      <c r="J62" s="39" t="n">
        <v>400</v>
      </c>
      <c r="K62" s="38" t="n">
        <v>-18.2401953</v>
      </c>
      <c r="L62" s="39" t="n">
        <v>-65.3418958</v>
      </c>
      <c r="M62" s="41" t="n">
        <v>0</v>
      </c>
      <c r="N62" s="40" t="n">
        <v>1</v>
      </c>
      <c r="O62" s="40" t="n">
        <v>1</v>
      </c>
      <c r="P62" s="40" t="n">
        <v>1</v>
      </c>
      <c r="Q62" s="40" t="n">
        <v>1</v>
      </c>
      <c r="R62" s="40" t="n">
        <f aca="false">Tableau2[[#This Row],[Nov 2023 (CUIE)]]+Tableau2[[#This Row],[ENE 2024 (Ener)]]+Tableau2[[#This Row],[May 2024 (CUIE)]]+Tableau2[[#This Row],[Nov 2024 (CUIE)]]+Tableau2[[#This Row],[Ene 2025 (CUIE)]]</f>
        <v>4</v>
      </c>
      <c r="S62" s="40" t="n">
        <v>1</v>
      </c>
      <c r="T62" s="40" t="n">
        <v>1</v>
      </c>
      <c r="U62" s="40" t="n">
        <v>1</v>
      </c>
      <c r="V62" s="40"/>
      <c r="W62" s="40" t="s">
        <v>53</v>
      </c>
      <c r="X62" s="44" t="s">
        <v>104</v>
      </c>
      <c r="Y62" s="44" t="s">
        <v>247</v>
      </c>
      <c r="Z62" s="39"/>
      <c r="AA62" s="20"/>
      <c r="AB62" s="41" t="s">
        <v>248</v>
      </c>
      <c r="AC62" s="39" t="n">
        <v>1</v>
      </c>
      <c r="AD62" s="41" t="s">
        <v>249</v>
      </c>
      <c r="AE62" s="39" t="n">
        <v>1</v>
      </c>
    </row>
    <row r="63" s="33" customFormat="true" ht="76.5" hidden="false" customHeight="false" outlineLevel="0" collapsed="false">
      <c r="A63" s="25" t="n">
        <v>98</v>
      </c>
      <c r="B63" s="27" t="s">
        <v>250</v>
      </c>
      <c r="C63" s="27" t="s">
        <v>251</v>
      </c>
      <c r="D63" s="27" t="s">
        <v>33</v>
      </c>
      <c r="E63" s="28" t="n">
        <v>9</v>
      </c>
      <c r="F63" s="29" t="s">
        <v>239</v>
      </c>
      <c r="G63" s="25" t="s">
        <v>35</v>
      </c>
      <c r="H63" s="30" t="n">
        <v>0</v>
      </c>
      <c r="I63" s="27" t="n">
        <v>3</v>
      </c>
      <c r="J63" s="27" t="n">
        <v>0</v>
      </c>
      <c r="K63" s="25" t="n">
        <v>-18.1432049</v>
      </c>
      <c r="L63" s="27" t="n">
        <v>-65.4927342</v>
      </c>
      <c r="M63" s="29" t="n">
        <v>0</v>
      </c>
      <c r="N63" s="28" t="n">
        <v>1</v>
      </c>
      <c r="O63" s="28" t="n">
        <v>0</v>
      </c>
      <c r="P63" s="28" t="n">
        <v>0</v>
      </c>
      <c r="Q63" s="28" t="n">
        <v>0</v>
      </c>
      <c r="R63" s="20" t="n">
        <f aca="false">Tableau2[[#This Row],[Nov 2023 (CUIE)]]+Tableau2[[#This Row],[ENE 2024 (Ener)]]+Tableau2[[#This Row],[May 2024 (CUIE)]]+Tableau2[[#This Row],[Nov 2024 (CUIE)]]+Tableau2[[#This Row],[Ene 2025 (CUIE)]]</f>
        <v>1</v>
      </c>
      <c r="S63" s="20" t="n">
        <v>1</v>
      </c>
      <c r="T63" s="20" t="n">
        <v>0</v>
      </c>
      <c r="U63" s="20" t="n">
        <v>0</v>
      </c>
      <c r="V63" s="28"/>
      <c r="W63" s="34" t="s">
        <v>252</v>
      </c>
      <c r="X63" s="31" t="n">
        <v>0</v>
      </c>
      <c r="Y63" s="32" t="n">
        <v>0</v>
      </c>
      <c r="Z63" s="27"/>
      <c r="AA63" s="28"/>
      <c r="AB63" s="27"/>
      <c r="AC63" s="27" t="n">
        <v>0</v>
      </c>
      <c r="AD63" s="27"/>
      <c r="AE63" s="27" t="n">
        <v>0</v>
      </c>
    </row>
    <row r="64" customFormat="false" ht="45.75" hidden="false" customHeight="false" outlineLevel="0" collapsed="false">
      <c r="A64" s="19" t="n">
        <v>75</v>
      </c>
      <c r="B64" s="10" t="s">
        <v>253</v>
      </c>
      <c r="C64" s="10" t="s">
        <v>254</v>
      </c>
      <c r="D64" s="10" t="s">
        <v>51</v>
      </c>
      <c r="E64" s="20" t="n">
        <v>11</v>
      </c>
      <c r="F64" s="8" t="s">
        <v>60</v>
      </c>
      <c r="G64" s="51" t="s">
        <v>61</v>
      </c>
      <c r="H64" s="21" t="s">
        <v>246</v>
      </c>
      <c r="I64" s="10" t="n">
        <v>5</v>
      </c>
      <c r="J64" s="10" t="n">
        <v>600</v>
      </c>
      <c r="K64" s="19" t="n">
        <v>-18.2317261</v>
      </c>
      <c r="L64" s="10" t="n">
        <v>-65.3539181</v>
      </c>
      <c r="M64" s="8" t="n">
        <v>0</v>
      </c>
      <c r="N64" s="20" t="n">
        <v>1</v>
      </c>
      <c r="O64" s="20" t="n">
        <v>1</v>
      </c>
      <c r="P64" s="20" t="n">
        <v>0</v>
      </c>
      <c r="Q64" s="20" t="n">
        <v>0</v>
      </c>
      <c r="R64" s="20" t="n">
        <f aca="false">Tableau2[[#This Row],[Nov 2023 (CUIE)]]+Tableau2[[#This Row],[ENE 2024 (Ener)]]+Tableau2[[#This Row],[May 2024 (CUIE)]]+Tableau2[[#This Row],[Nov 2024 (CUIE)]]+Tableau2[[#This Row],[Ene 2025 (CUIE)]]</f>
        <v>2</v>
      </c>
      <c r="S64" s="20" t="n">
        <v>1</v>
      </c>
      <c r="T64" s="20" t="n">
        <v>1</v>
      </c>
      <c r="U64" s="20" t="n">
        <v>0</v>
      </c>
      <c r="V64" s="20"/>
      <c r="W64" s="22" t="s">
        <v>255</v>
      </c>
      <c r="X64" s="23" t="s">
        <v>72</v>
      </c>
      <c r="Y64" s="47" t="n">
        <v>0</v>
      </c>
      <c r="Z64" s="10"/>
      <c r="AA64" s="20"/>
      <c r="AB64" s="10"/>
      <c r="AC64" s="10" t="n">
        <v>0</v>
      </c>
      <c r="AD64" s="10"/>
      <c r="AE64" s="10" t="n">
        <v>0</v>
      </c>
    </row>
    <row r="65" customFormat="false" ht="121.5" hidden="false" customHeight="false" outlineLevel="0" collapsed="false">
      <c r="A65" s="19" t="n">
        <v>30</v>
      </c>
      <c r="B65" s="10" t="s">
        <v>256</v>
      </c>
      <c r="C65" s="10" t="s">
        <v>257</v>
      </c>
      <c r="D65" s="10" t="s">
        <v>42</v>
      </c>
      <c r="E65" s="20" t="n">
        <v>10</v>
      </c>
      <c r="F65" s="8" t="s">
        <v>60</v>
      </c>
      <c r="G65" s="19" t="s">
        <v>35</v>
      </c>
      <c r="H65" s="21" t="n">
        <v>0</v>
      </c>
      <c r="I65" s="10" t="n">
        <v>4</v>
      </c>
      <c r="J65" s="10" t="n">
        <v>500</v>
      </c>
      <c r="K65" s="19" t="n">
        <v>-18.1590892</v>
      </c>
      <c r="L65" s="10" t="n">
        <v>-65.454477</v>
      </c>
      <c r="M65" s="8" t="n">
        <v>0</v>
      </c>
      <c r="N65" s="20" t="n">
        <v>1</v>
      </c>
      <c r="O65" s="20" t="n">
        <v>1</v>
      </c>
      <c r="P65" s="20" t="n">
        <v>0</v>
      </c>
      <c r="Q65" s="20" t="n">
        <v>0</v>
      </c>
      <c r="R65" s="20" t="n">
        <f aca="false">Tableau2[[#This Row],[Nov 2023 (CUIE)]]+Tableau2[[#This Row],[ENE 2024 (Ener)]]+Tableau2[[#This Row],[May 2024 (CUIE)]]+Tableau2[[#This Row],[Nov 2024 (CUIE)]]+Tableau2[[#This Row],[Ene 2025 (CUIE)]]</f>
        <v>2</v>
      </c>
      <c r="S65" s="20" t="n">
        <v>1</v>
      </c>
      <c r="T65" s="20" t="n">
        <v>1</v>
      </c>
      <c r="U65" s="20" t="n">
        <v>0</v>
      </c>
      <c r="V65" s="20"/>
      <c r="W65" s="22" t="s">
        <v>258</v>
      </c>
      <c r="X65" s="23" t="s">
        <v>259</v>
      </c>
      <c r="Y65" s="47" t="n">
        <v>0</v>
      </c>
      <c r="Z65" s="10"/>
      <c r="AA65" s="20"/>
      <c r="AB65" s="10"/>
      <c r="AC65" s="10" t="n">
        <v>0</v>
      </c>
      <c r="AD65" s="10"/>
      <c r="AE65" s="10" t="n">
        <v>0</v>
      </c>
    </row>
    <row r="66" customFormat="false" ht="30.75" hidden="false" customHeight="false" outlineLevel="0" collapsed="false">
      <c r="A66" s="19" t="n">
        <v>31</v>
      </c>
      <c r="B66" s="10" t="s">
        <v>260</v>
      </c>
      <c r="C66" s="10" t="s">
        <v>261</v>
      </c>
      <c r="D66" s="10" t="s">
        <v>42</v>
      </c>
      <c r="E66" s="20" t="n">
        <v>6</v>
      </c>
      <c r="F66" s="8" t="s">
        <v>34</v>
      </c>
      <c r="G66" s="19" t="s">
        <v>35</v>
      </c>
      <c r="H66" s="21" t="n">
        <v>0</v>
      </c>
      <c r="I66" s="10" t="n">
        <v>3</v>
      </c>
      <c r="J66" s="10" t="n">
        <v>500</v>
      </c>
      <c r="K66" s="19" t="n">
        <v>-18.1673653</v>
      </c>
      <c r="L66" s="10" t="n">
        <v>-65.4619864</v>
      </c>
      <c r="M66" s="8" t="n">
        <v>0</v>
      </c>
      <c r="N66" s="20" t="n">
        <v>1</v>
      </c>
      <c r="O66" s="20" t="n">
        <v>1</v>
      </c>
      <c r="P66" s="20" t="n">
        <v>0</v>
      </c>
      <c r="Q66" s="20" t="n">
        <v>1</v>
      </c>
      <c r="R66" s="20" t="n">
        <f aca="false">Tableau2[[#This Row],[Nov 2023 (CUIE)]]+Tableau2[[#This Row],[ENE 2024 (Ener)]]+Tableau2[[#This Row],[May 2024 (CUIE)]]+Tableau2[[#This Row],[Nov 2024 (CUIE)]]+Tableau2[[#This Row],[Ene 2025 (CUIE)]]</f>
        <v>3</v>
      </c>
      <c r="S66" s="20" t="n">
        <v>1</v>
      </c>
      <c r="T66" s="20" t="n">
        <v>1</v>
      </c>
      <c r="U66" s="20" t="n">
        <v>0</v>
      </c>
      <c r="V66" s="20"/>
      <c r="W66" s="22" t="s">
        <v>262</v>
      </c>
      <c r="X66" s="23" t="s">
        <v>104</v>
      </c>
      <c r="Y66" s="47" t="n">
        <v>0</v>
      </c>
      <c r="Z66" s="10"/>
      <c r="AA66" s="20"/>
      <c r="AB66" s="8" t="s">
        <v>263</v>
      </c>
      <c r="AC66" s="10" t="n">
        <v>0</v>
      </c>
      <c r="AD66" s="10"/>
      <c r="AE66" s="10" t="n">
        <v>0</v>
      </c>
    </row>
    <row r="67" customFormat="false" ht="106.5" hidden="false" customHeight="false" outlineLevel="0" collapsed="false">
      <c r="A67" s="19" t="n">
        <v>32</v>
      </c>
      <c r="B67" s="10" t="s">
        <v>264</v>
      </c>
      <c r="C67" s="10" t="s">
        <v>265</v>
      </c>
      <c r="D67" s="10" t="s">
        <v>42</v>
      </c>
      <c r="E67" s="20" t="n">
        <v>3</v>
      </c>
      <c r="F67" s="8" t="s">
        <v>52</v>
      </c>
      <c r="G67" s="19" t="s">
        <v>35</v>
      </c>
      <c r="H67" s="21" t="n">
        <v>0</v>
      </c>
      <c r="I67" s="10" t="n">
        <v>3</v>
      </c>
      <c r="J67" s="10" t="n">
        <v>300</v>
      </c>
      <c r="K67" s="19" t="n">
        <v>-18.1480488</v>
      </c>
      <c r="L67" s="10" t="n">
        <v>-65.4835629</v>
      </c>
      <c r="M67" s="8" t="n">
        <v>1</v>
      </c>
      <c r="N67" s="20" t="n">
        <v>1</v>
      </c>
      <c r="O67" s="20" t="n">
        <v>1</v>
      </c>
      <c r="P67" s="20" t="n">
        <v>0</v>
      </c>
      <c r="Q67" s="20" t="n">
        <v>1</v>
      </c>
      <c r="R67" s="20" t="n">
        <f aca="false">Tableau2[[#This Row],[Nov 2023 (CUIE)]]+Tableau2[[#This Row],[ENE 2024 (Ener)]]+Tableau2[[#This Row],[May 2024 (CUIE)]]+Tableau2[[#This Row],[Nov 2024 (CUIE)]]+Tableau2[[#This Row],[Ene 2025 (CUIE)]]</f>
        <v>4</v>
      </c>
      <c r="S67" s="20" t="n">
        <v>1</v>
      </c>
      <c r="T67" s="20" t="n">
        <v>1</v>
      </c>
      <c r="U67" s="20" t="n">
        <v>0</v>
      </c>
      <c r="V67" s="20"/>
      <c r="W67" s="22" t="s">
        <v>266</v>
      </c>
      <c r="X67" s="23" t="s">
        <v>114</v>
      </c>
      <c r="Y67" s="47" t="n">
        <v>0</v>
      </c>
      <c r="Z67" s="10"/>
      <c r="AA67" s="20"/>
      <c r="AB67" s="8" t="s">
        <v>267</v>
      </c>
      <c r="AC67" s="10" t="n">
        <v>0</v>
      </c>
      <c r="AD67" s="8" t="s">
        <v>268</v>
      </c>
      <c r="AE67" s="10" t="n">
        <v>0</v>
      </c>
    </row>
    <row r="68" customFormat="false" ht="106.5" hidden="false" customHeight="false" outlineLevel="0" collapsed="false">
      <c r="A68" s="19" t="n">
        <v>76</v>
      </c>
      <c r="B68" s="10" t="s">
        <v>269</v>
      </c>
      <c r="C68" s="10" t="s">
        <v>144</v>
      </c>
      <c r="D68" s="10" t="s">
        <v>51</v>
      </c>
      <c r="E68" s="20" t="n">
        <v>5</v>
      </c>
      <c r="F68" s="8" t="s">
        <v>65</v>
      </c>
      <c r="G68" s="19" t="s">
        <v>35</v>
      </c>
      <c r="H68" s="21" t="n">
        <v>0</v>
      </c>
      <c r="I68" s="10" t="n">
        <v>3</v>
      </c>
      <c r="J68" s="10" t="n">
        <v>0</v>
      </c>
      <c r="K68" s="19" t="n">
        <v>-18.2299309</v>
      </c>
      <c r="L68" s="10" t="n">
        <v>-65.3469796</v>
      </c>
      <c r="M68" s="8" t="n">
        <v>0</v>
      </c>
      <c r="N68" s="20" t="n">
        <v>0</v>
      </c>
      <c r="O68" s="20" t="n">
        <v>0</v>
      </c>
      <c r="P68" s="20" t="n">
        <v>1</v>
      </c>
      <c r="Q68" s="20" t="n">
        <v>0</v>
      </c>
      <c r="R68" s="20" t="n">
        <f aca="false">Tableau2[[#This Row],[Nov 2023 (CUIE)]]+Tableau2[[#This Row],[ENE 2024 (Ener)]]+Tableau2[[#This Row],[May 2024 (CUIE)]]+Tableau2[[#This Row],[Nov 2024 (CUIE)]]+Tableau2[[#This Row],[Ene 2025 (CUIE)]]</f>
        <v>1</v>
      </c>
      <c r="S68" s="20" t="n">
        <v>1</v>
      </c>
      <c r="T68" s="20" t="n">
        <v>0</v>
      </c>
      <c r="U68" s="20" t="n">
        <v>0</v>
      </c>
      <c r="V68" s="20"/>
      <c r="W68" s="20"/>
      <c r="X68" s="23" t="n">
        <v>0</v>
      </c>
      <c r="Y68" s="35" t="s">
        <v>270</v>
      </c>
      <c r="Z68" s="10"/>
      <c r="AA68" s="20"/>
      <c r="AB68" s="10"/>
      <c r="AC68" s="10" t="n">
        <v>0</v>
      </c>
      <c r="AD68" s="10"/>
      <c r="AE68" s="10" t="n">
        <v>0</v>
      </c>
    </row>
    <row r="69" customFormat="false" ht="30.75" hidden="false" customHeight="false" outlineLevel="0" collapsed="false">
      <c r="A69" s="19" t="n">
        <v>51</v>
      </c>
      <c r="B69" s="10" t="s">
        <v>271</v>
      </c>
      <c r="C69" s="10" t="s">
        <v>272</v>
      </c>
      <c r="D69" s="10" t="s">
        <v>59</v>
      </c>
      <c r="E69" s="20" t="n">
        <v>8</v>
      </c>
      <c r="F69" s="8" t="s">
        <v>60</v>
      </c>
      <c r="G69" s="19" t="s">
        <v>35</v>
      </c>
      <c r="H69" s="21" t="n">
        <v>0</v>
      </c>
      <c r="I69" s="10" t="n">
        <v>4</v>
      </c>
      <c r="J69" s="10" t="n">
        <v>100</v>
      </c>
      <c r="K69" s="19" t="n">
        <v>-18.1389931</v>
      </c>
      <c r="L69" s="10" t="n">
        <v>-65.4573679</v>
      </c>
      <c r="M69" s="8" t="n">
        <v>0</v>
      </c>
      <c r="N69" s="20" t="n">
        <v>0</v>
      </c>
      <c r="O69" s="20" t="n">
        <v>1</v>
      </c>
      <c r="P69" s="20" t="n">
        <v>0</v>
      </c>
      <c r="Q69" s="20" t="n">
        <v>0</v>
      </c>
      <c r="R69" s="20" t="n">
        <f aca="false">Tableau2[[#This Row],[Nov 2023 (CUIE)]]+Tableau2[[#This Row],[ENE 2024 (Ener)]]+Tableau2[[#This Row],[May 2024 (CUIE)]]+Tableau2[[#This Row],[Nov 2024 (CUIE)]]+Tableau2[[#This Row],[Ene 2025 (CUIE)]]</f>
        <v>1</v>
      </c>
      <c r="S69" s="20" t="n">
        <v>1</v>
      </c>
      <c r="T69" s="20" t="n">
        <v>1</v>
      </c>
      <c r="U69" s="20" t="n">
        <v>0</v>
      </c>
      <c r="V69" s="20"/>
      <c r="W69" s="20"/>
      <c r="X69" s="23" t="s">
        <v>104</v>
      </c>
      <c r="Y69" s="47" t="n">
        <v>0</v>
      </c>
      <c r="Z69" s="10"/>
      <c r="AA69" s="20"/>
      <c r="AB69" s="10"/>
      <c r="AC69" s="10" t="n">
        <v>0</v>
      </c>
      <c r="AD69" s="10"/>
      <c r="AE69" s="10" t="n">
        <v>0</v>
      </c>
    </row>
    <row r="70" s="33" customFormat="true" ht="30.75" hidden="false" customHeight="false" outlineLevel="0" collapsed="false">
      <c r="A70" s="25" t="n">
        <v>77</v>
      </c>
      <c r="B70" s="27" t="s">
        <v>273</v>
      </c>
      <c r="C70" s="27" t="s">
        <v>274</v>
      </c>
      <c r="D70" s="27" t="s">
        <v>79</v>
      </c>
      <c r="E70" s="28" t="n">
        <v>3</v>
      </c>
      <c r="F70" s="29" t="s">
        <v>65</v>
      </c>
      <c r="G70" s="25" t="s">
        <v>35</v>
      </c>
      <c r="H70" s="30" t="n">
        <v>0</v>
      </c>
      <c r="I70" s="27" t="n">
        <v>1</v>
      </c>
      <c r="J70" s="27" t="n">
        <v>2100</v>
      </c>
      <c r="K70" s="25" t="n">
        <v>-18.2378418</v>
      </c>
      <c r="L70" s="27" t="n">
        <v>-65.337878</v>
      </c>
      <c r="M70" s="29" t="n">
        <v>0</v>
      </c>
      <c r="N70" s="28" t="n">
        <v>0</v>
      </c>
      <c r="O70" s="28" t="n">
        <v>0</v>
      </c>
      <c r="P70" s="28" t="n">
        <v>0</v>
      </c>
      <c r="Q70" s="28" t="n">
        <v>0</v>
      </c>
      <c r="R70" s="20" t="n">
        <f aca="false">Tableau2[[#This Row],[Nov 2023 (CUIE)]]+Tableau2[[#This Row],[ENE 2024 (Ener)]]+Tableau2[[#This Row],[May 2024 (CUIE)]]+Tableau2[[#This Row],[Nov 2024 (CUIE)]]+Tableau2[[#This Row],[Ene 2025 (CUIE)]]</f>
        <v>0</v>
      </c>
      <c r="S70" s="20" t="n">
        <v>1</v>
      </c>
      <c r="T70" s="20" t="n">
        <v>0</v>
      </c>
      <c r="U70" s="20" t="n">
        <v>0</v>
      </c>
      <c r="V70" s="28"/>
      <c r="W70" s="28"/>
      <c r="X70" s="31" t="n">
        <v>0</v>
      </c>
      <c r="Y70" s="32" t="n">
        <v>0</v>
      </c>
      <c r="Z70" s="27"/>
      <c r="AA70" s="28"/>
      <c r="AB70" s="27"/>
      <c r="AC70" s="27" t="n">
        <v>0</v>
      </c>
      <c r="AD70" s="27"/>
      <c r="AE70" s="27" t="n">
        <v>0</v>
      </c>
    </row>
    <row r="71" customFormat="false" ht="15" hidden="false" customHeight="false" outlineLevel="0" collapsed="false">
      <c r="A71" s="19" t="n">
        <v>33</v>
      </c>
      <c r="B71" s="10" t="s">
        <v>275</v>
      </c>
      <c r="C71" s="10" t="s">
        <v>107</v>
      </c>
      <c r="D71" s="10" t="s">
        <v>42</v>
      </c>
      <c r="E71" s="20" t="n">
        <v>5</v>
      </c>
      <c r="F71" s="8" t="s">
        <v>34</v>
      </c>
      <c r="G71" s="19" t="s">
        <v>35</v>
      </c>
      <c r="H71" s="21" t="n">
        <v>0</v>
      </c>
      <c r="I71" s="10" t="n">
        <v>4</v>
      </c>
      <c r="J71" s="10" t="s">
        <v>276</v>
      </c>
      <c r="K71" s="19" t="n">
        <v>-18.1683644</v>
      </c>
      <c r="L71" s="10" t="n">
        <v>-65.4671094</v>
      </c>
      <c r="M71" s="8" t="n">
        <v>0</v>
      </c>
      <c r="N71" s="20" t="n">
        <v>0</v>
      </c>
      <c r="O71" s="20" t="n">
        <v>1</v>
      </c>
      <c r="P71" s="20" t="n">
        <v>0</v>
      </c>
      <c r="Q71" s="20" t="n">
        <v>0</v>
      </c>
      <c r="R71" s="20" t="n">
        <f aca="false">Tableau2[[#This Row],[Nov 2023 (CUIE)]]+Tableau2[[#This Row],[ENE 2024 (Ener)]]+Tableau2[[#This Row],[May 2024 (CUIE)]]+Tableau2[[#This Row],[Nov 2024 (CUIE)]]+Tableau2[[#This Row],[Ene 2025 (CUIE)]]</f>
        <v>1</v>
      </c>
      <c r="S71" s="20" t="n">
        <v>1</v>
      </c>
      <c r="T71" s="20" t="n">
        <v>1</v>
      </c>
      <c r="U71" s="20" t="n">
        <v>0</v>
      </c>
      <c r="V71" s="20"/>
      <c r="W71" s="20"/>
      <c r="X71" s="23" t="s">
        <v>104</v>
      </c>
      <c r="Y71" s="47" t="n">
        <v>0</v>
      </c>
      <c r="Z71" s="10"/>
      <c r="AA71" s="20"/>
      <c r="AB71" s="10"/>
      <c r="AC71" s="10" t="n">
        <v>0</v>
      </c>
      <c r="AD71" s="10"/>
      <c r="AE71" s="10" t="n">
        <v>0</v>
      </c>
    </row>
    <row r="72" customFormat="false" ht="45.75" hidden="false" customHeight="false" outlineLevel="0" collapsed="false">
      <c r="A72" s="19" t="n">
        <v>34</v>
      </c>
      <c r="B72" s="10" t="s">
        <v>277</v>
      </c>
      <c r="C72" s="10" t="s">
        <v>124</v>
      </c>
      <c r="D72" s="10" t="s">
        <v>42</v>
      </c>
      <c r="E72" s="20" t="n">
        <v>4</v>
      </c>
      <c r="F72" s="8" t="s">
        <v>65</v>
      </c>
      <c r="G72" s="19" t="s">
        <v>35</v>
      </c>
      <c r="H72" s="21" t="n">
        <v>0</v>
      </c>
      <c r="I72" s="10" t="n">
        <v>3</v>
      </c>
      <c r="J72" s="10" t="n">
        <v>200</v>
      </c>
      <c r="K72" s="19" t="n">
        <v>-18.1628391</v>
      </c>
      <c r="L72" s="10" t="n">
        <v>-65.4623511</v>
      </c>
      <c r="M72" s="8" t="n">
        <v>0</v>
      </c>
      <c r="N72" s="20" t="n">
        <v>1</v>
      </c>
      <c r="O72" s="20" t="n">
        <v>1</v>
      </c>
      <c r="P72" s="20" t="n">
        <v>0</v>
      </c>
      <c r="Q72" s="20" t="n">
        <v>0</v>
      </c>
      <c r="R72" s="20" t="n">
        <f aca="false">Tableau2[[#This Row],[Nov 2023 (CUIE)]]+Tableau2[[#This Row],[ENE 2024 (Ener)]]+Tableau2[[#This Row],[May 2024 (CUIE)]]+Tableau2[[#This Row],[Nov 2024 (CUIE)]]+Tableau2[[#This Row],[Ene 2025 (CUIE)]]</f>
        <v>2</v>
      </c>
      <c r="S72" s="20" t="n">
        <v>1</v>
      </c>
      <c r="T72" s="20" t="n">
        <v>1</v>
      </c>
      <c r="U72" s="20" t="n">
        <v>0</v>
      </c>
      <c r="V72" s="20"/>
      <c r="W72" s="22" t="s">
        <v>278</v>
      </c>
      <c r="X72" s="23" t="s">
        <v>279</v>
      </c>
      <c r="Y72" s="47" t="n">
        <v>0</v>
      </c>
      <c r="Z72" s="10"/>
      <c r="AA72" s="20"/>
      <c r="AB72" s="10"/>
      <c r="AC72" s="10" t="n">
        <v>0</v>
      </c>
      <c r="AD72" s="10"/>
      <c r="AE72" s="10" t="n">
        <v>0</v>
      </c>
    </row>
    <row r="73" customFormat="false" ht="60.75" hidden="false" customHeight="false" outlineLevel="0" collapsed="false">
      <c r="A73" s="19" t="n">
        <v>78</v>
      </c>
      <c r="B73" s="10" t="s">
        <v>280</v>
      </c>
      <c r="C73" s="10" t="s">
        <v>281</v>
      </c>
      <c r="D73" s="10" t="s">
        <v>51</v>
      </c>
      <c r="E73" s="20" t="n">
        <v>8</v>
      </c>
      <c r="F73" s="8" t="s">
        <v>60</v>
      </c>
      <c r="G73" s="19" t="s">
        <v>61</v>
      </c>
      <c r="H73" s="21" t="s">
        <v>282</v>
      </c>
      <c r="I73" s="10" t="n">
        <v>3</v>
      </c>
      <c r="J73" s="10" t="n">
        <v>200</v>
      </c>
      <c r="K73" s="19" t="n">
        <v>-18.2387484</v>
      </c>
      <c r="L73" s="10" t="n">
        <v>-65.3450876</v>
      </c>
      <c r="M73" s="8" t="n">
        <v>1</v>
      </c>
      <c r="N73" s="20" t="n">
        <v>1</v>
      </c>
      <c r="O73" s="20" t="n">
        <v>0</v>
      </c>
      <c r="P73" s="20" t="n">
        <v>0</v>
      </c>
      <c r="Q73" s="20" t="n">
        <v>0</v>
      </c>
      <c r="R73" s="20" t="n">
        <f aca="false">Tableau2[[#This Row],[Nov 2023 (CUIE)]]+Tableau2[[#This Row],[ENE 2024 (Ener)]]+Tableau2[[#This Row],[May 2024 (CUIE)]]+Tableau2[[#This Row],[Nov 2024 (CUIE)]]+Tableau2[[#This Row],[Ene 2025 (CUIE)]]</f>
        <v>2</v>
      </c>
      <c r="S73" s="20" t="n">
        <v>1</v>
      </c>
      <c r="T73" s="20" t="n">
        <v>1</v>
      </c>
      <c r="U73" s="20" t="n">
        <v>0</v>
      </c>
      <c r="V73" s="20"/>
      <c r="W73" s="22" t="s">
        <v>283</v>
      </c>
      <c r="X73" s="23" t="s">
        <v>284</v>
      </c>
      <c r="Y73" s="47" t="n">
        <v>0</v>
      </c>
      <c r="Z73" s="10"/>
      <c r="AA73" s="20"/>
      <c r="AB73" s="10"/>
      <c r="AC73" s="10" t="n">
        <v>0</v>
      </c>
      <c r="AD73" s="10"/>
      <c r="AE73" s="10" t="n">
        <v>0</v>
      </c>
    </row>
    <row r="74" s="33" customFormat="true" ht="30.75" hidden="false" customHeight="false" outlineLevel="0" collapsed="false">
      <c r="A74" s="25" t="n">
        <v>79</v>
      </c>
      <c r="B74" s="27" t="s">
        <v>280</v>
      </c>
      <c r="C74" s="27" t="s">
        <v>285</v>
      </c>
      <c r="D74" s="27" t="s">
        <v>51</v>
      </c>
      <c r="E74" s="28" t="n">
        <v>4</v>
      </c>
      <c r="F74" s="29" t="s">
        <v>65</v>
      </c>
      <c r="G74" s="25" t="s">
        <v>35</v>
      </c>
      <c r="H74" s="30" t="n">
        <v>0</v>
      </c>
      <c r="I74" s="27" t="n">
        <v>4</v>
      </c>
      <c r="J74" s="27" t="n">
        <v>200</v>
      </c>
      <c r="K74" s="25" t="n">
        <v>-18.2334768</v>
      </c>
      <c r="L74" s="27" t="n">
        <v>-65.3449306</v>
      </c>
      <c r="M74" s="29" t="n">
        <v>0</v>
      </c>
      <c r="N74" s="28" t="n">
        <v>1</v>
      </c>
      <c r="O74" s="28" t="n">
        <v>0</v>
      </c>
      <c r="P74" s="28" t="n">
        <v>0</v>
      </c>
      <c r="Q74" s="28" t="n">
        <v>0</v>
      </c>
      <c r="R74" s="20" t="n">
        <f aca="false">Tableau2[[#This Row],[Nov 2023 (CUIE)]]+Tableau2[[#This Row],[ENE 2024 (Ener)]]+Tableau2[[#This Row],[May 2024 (CUIE)]]+Tableau2[[#This Row],[Nov 2024 (CUIE)]]+Tableau2[[#This Row],[Ene 2025 (CUIE)]]</f>
        <v>1</v>
      </c>
      <c r="S74" s="20" t="n">
        <v>1</v>
      </c>
      <c r="T74" s="20" t="n">
        <v>0</v>
      </c>
      <c r="U74" s="20" t="n">
        <v>0</v>
      </c>
      <c r="V74" s="28"/>
      <c r="W74" s="34" t="s">
        <v>286</v>
      </c>
      <c r="X74" s="31" t="n">
        <v>0</v>
      </c>
      <c r="Y74" s="32" t="n">
        <v>0</v>
      </c>
      <c r="Z74" s="27"/>
      <c r="AA74" s="28"/>
      <c r="AB74" s="27"/>
      <c r="AC74" s="27" t="n">
        <v>0</v>
      </c>
      <c r="AD74" s="27"/>
      <c r="AE74" s="27" t="n">
        <v>0</v>
      </c>
    </row>
    <row r="75" s="33" customFormat="true" ht="30.75" hidden="false" customHeight="false" outlineLevel="0" collapsed="false">
      <c r="A75" s="25" t="n">
        <v>35</v>
      </c>
      <c r="B75" s="27" t="s">
        <v>287</v>
      </c>
      <c r="C75" s="27" t="s">
        <v>199</v>
      </c>
      <c r="D75" s="27" t="s">
        <v>42</v>
      </c>
      <c r="E75" s="28" t="n">
        <v>5</v>
      </c>
      <c r="F75" s="29" t="s">
        <v>65</v>
      </c>
      <c r="G75" s="25" t="s">
        <v>35</v>
      </c>
      <c r="H75" s="30" t="n">
        <v>0</v>
      </c>
      <c r="I75" s="27" t="n">
        <v>4</v>
      </c>
      <c r="J75" s="27" t="n">
        <v>200</v>
      </c>
      <c r="K75" s="25" t="n">
        <v>-18.1680178</v>
      </c>
      <c r="L75" s="27" t="n">
        <v>-65.46756</v>
      </c>
      <c r="M75" s="29" t="n">
        <v>0</v>
      </c>
      <c r="N75" s="28" t="n">
        <v>0</v>
      </c>
      <c r="O75" s="28" t="n">
        <v>0</v>
      </c>
      <c r="P75" s="28" t="n">
        <v>0</v>
      </c>
      <c r="Q75" s="28" t="n">
        <v>0</v>
      </c>
      <c r="R75" s="20" t="n">
        <f aca="false">Tableau2[[#This Row],[Nov 2023 (CUIE)]]+Tableau2[[#This Row],[ENE 2024 (Ener)]]+Tableau2[[#This Row],[May 2024 (CUIE)]]+Tableau2[[#This Row],[Nov 2024 (CUIE)]]+Tableau2[[#This Row],[Ene 2025 (CUIE)]]</f>
        <v>0</v>
      </c>
      <c r="S75" s="20" t="n">
        <v>1</v>
      </c>
      <c r="T75" s="20" t="n">
        <v>0</v>
      </c>
      <c r="U75" s="20" t="n">
        <v>0</v>
      </c>
      <c r="V75" s="28"/>
      <c r="W75" s="28"/>
      <c r="X75" s="31" t="n">
        <v>0</v>
      </c>
      <c r="Y75" s="32" t="n">
        <v>0</v>
      </c>
      <c r="Z75" s="27"/>
      <c r="AA75" s="28"/>
      <c r="AB75" s="27"/>
      <c r="AC75" s="27" t="n">
        <v>0</v>
      </c>
      <c r="AD75" s="27"/>
      <c r="AE75" s="27" t="n">
        <v>0</v>
      </c>
    </row>
    <row r="76" customFormat="false" ht="30.75" hidden="false" customHeight="false" outlineLevel="0" collapsed="false">
      <c r="A76" s="19" t="n">
        <v>80</v>
      </c>
      <c r="B76" s="10" t="s">
        <v>288</v>
      </c>
      <c r="C76" s="10" t="s">
        <v>289</v>
      </c>
      <c r="D76" s="10" t="s">
        <v>51</v>
      </c>
      <c r="E76" s="20" t="n">
        <v>3</v>
      </c>
      <c r="F76" s="8" t="s">
        <v>65</v>
      </c>
      <c r="G76" s="19" t="s">
        <v>35</v>
      </c>
      <c r="H76" s="21" t="n">
        <v>0</v>
      </c>
      <c r="I76" s="10" t="n">
        <v>4</v>
      </c>
      <c r="J76" s="10" t="n">
        <v>400</v>
      </c>
      <c r="K76" s="19"/>
      <c r="L76" s="10"/>
      <c r="M76" s="8" t="n">
        <v>0</v>
      </c>
      <c r="N76" s="20" t="n">
        <v>0</v>
      </c>
      <c r="O76" s="20" t="n">
        <v>1</v>
      </c>
      <c r="P76" s="20" t="n">
        <v>0</v>
      </c>
      <c r="Q76" s="20" t="n">
        <v>0</v>
      </c>
      <c r="R76" s="20" t="n">
        <f aca="false">Tableau2[[#This Row],[Nov 2023 (CUIE)]]+Tableau2[[#This Row],[ENE 2024 (Ener)]]+Tableau2[[#This Row],[May 2024 (CUIE)]]+Tableau2[[#This Row],[Nov 2024 (CUIE)]]+Tableau2[[#This Row],[Ene 2025 (CUIE)]]</f>
        <v>1</v>
      </c>
      <c r="S76" s="20" t="n">
        <v>1</v>
      </c>
      <c r="T76" s="20" t="n">
        <v>1</v>
      </c>
      <c r="U76" s="20" t="n">
        <v>0</v>
      </c>
      <c r="V76" s="20"/>
      <c r="W76" s="20"/>
      <c r="X76" s="23" t="s">
        <v>72</v>
      </c>
      <c r="Y76" s="47" t="n">
        <v>0</v>
      </c>
      <c r="Z76" s="10"/>
      <c r="AA76" s="20"/>
      <c r="AB76" s="10"/>
      <c r="AC76" s="10" t="n">
        <v>0</v>
      </c>
      <c r="AD76" s="10"/>
      <c r="AE76" s="10" t="n">
        <v>0</v>
      </c>
    </row>
    <row r="77" customFormat="false" ht="60.75" hidden="false" customHeight="false" outlineLevel="0" collapsed="false">
      <c r="A77" s="19" t="n">
        <v>81</v>
      </c>
      <c r="B77" s="10" t="s">
        <v>290</v>
      </c>
      <c r="C77" s="10" t="s">
        <v>245</v>
      </c>
      <c r="D77" s="10" t="s">
        <v>51</v>
      </c>
      <c r="E77" s="20" t="n">
        <v>7</v>
      </c>
      <c r="F77" s="8" t="s">
        <v>76</v>
      </c>
      <c r="G77" s="19" t="s">
        <v>35</v>
      </c>
      <c r="H77" s="21" t="n">
        <v>0</v>
      </c>
      <c r="I77" s="10" t="n">
        <v>3</v>
      </c>
      <c r="J77" s="10" t="n">
        <v>200</v>
      </c>
      <c r="K77" s="19" t="n">
        <v>-18.2403532</v>
      </c>
      <c r="L77" s="10" t="n">
        <v>-65.3414935</v>
      </c>
      <c r="M77" s="8" t="n">
        <v>1</v>
      </c>
      <c r="N77" s="20" t="n">
        <v>1</v>
      </c>
      <c r="O77" s="20" t="n">
        <v>0</v>
      </c>
      <c r="P77" s="20" t="n">
        <v>1</v>
      </c>
      <c r="Q77" s="20" t="n">
        <v>0</v>
      </c>
      <c r="R77" s="20" t="n">
        <f aca="false">Tableau2[[#This Row],[Nov 2023 (CUIE)]]+Tableau2[[#This Row],[ENE 2024 (Ener)]]+Tableau2[[#This Row],[May 2024 (CUIE)]]+Tableau2[[#This Row],[Nov 2024 (CUIE)]]+Tableau2[[#This Row],[Ene 2025 (CUIE)]]</f>
        <v>3</v>
      </c>
      <c r="S77" s="20" t="n">
        <v>1</v>
      </c>
      <c r="T77" s="20" t="n">
        <v>1</v>
      </c>
      <c r="U77" s="20" t="n">
        <v>1</v>
      </c>
      <c r="V77" s="20"/>
      <c r="W77" s="22" t="s">
        <v>291</v>
      </c>
      <c r="X77" s="23" t="s">
        <v>37</v>
      </c>
      <c r="Y77" s="23" t="s">
        <v>292</v>
      </c>
      <c r="Z77" s="10" t="s">
        <v>55</v>
      </c>
      <c r="AA77" s="20"/>
      <c r="AB77" s="10"/>
      <c r="AC77" s="10" t="n">
        <v>0</v>
      </c>
      <c r="AD77" s="10"/>
      <c r="AE77" s="10" t="n">
        <v>0</v>
      </c>
    </row>
    <row r="78" s="33" customFormat="true" ht="45.75" hidden="false" customHeight="false" outlineLevel="0" collapsed="false">
      <c r="A78" s="25" t="n">
        <v>36</v>
      </c>
      <c r="B78" s="26" t="s">
        <v>293</v>
      </c>
      <c r="C78" s="27" t="s">
        <v>294</v>
      </c>
      <c r="D78" s="27" t="s">
        <v>42</v>
      </c>
      <c r="E78" s="28" t="n">
        <v>1</v>
      </c>
      <c r="F78" s="29" t="s">
        <v>93</v>
      </c>
      <c r="G78" s="25" t="s">
        <v>35</v>
      </c>
      <c r="H78" s="30" t="n">
        <v>0</v>
      </c>
      <c r="I78" s="27" t="n">
        <v>3</v>
      </c>
      <c r="J78" s="27" t="n">
        <v>100</v>
      </c>
      <c r="K78" s="25" t="n">
        <v>-18.1590866</v>
      </c>
      <c r="L78" s="27" t="n">
        <v>-65.4556893</v>
      </c>
      <c r="M78" s="29" t="n">
        <v>0</v>
      </c>
      <c r="N78" s="28" t="n">
        <v>0</v>
      </c>
      <c r="O78" s="28" t="n">
        <v>0</v>
      </c>
      <c r="P78" s="28" t="n">
        <v>0</v>
      </c>
      <c r="Q78" s="28" t="n">
        <v>1</v>
      </c>
      <c r="R78" s="20" t="n">
        <f aca="false">Tableau2[[#This Row],[Nov 2023 (CUIE)]]+Tableau2[[#This Row],[ENE 2024 (Ener)]]+Tableau2[[#This Row],[May 2024 (CUIE)]]+Tableau2[[#This Row],[Nov 2024 (CUIE)]]+Tableau2[[#This Row],[Ene 2025 (CUIE)]]</f>
        <v>1</v>
      </c>
      <c r="S78" s="20" t="n">
        <v>1</v>
      </c>
      <c r="T78" s="20" t="n">
        <v>0</v>
      </c>
      <c r="U78" s="20" t="n">
        <v>0</v>
      </c>
      <c r="V78" s="28"/>
      <c r="W78" s="28"/>
      <c r="X78" s="31" t="n">
        <v>0</v>
      </c>
      <c r="Y78" s="32" t="n">
        <v>0</v>
      </c>
      <c r="Z78" s="27"/>
      <c r="AA78" s="28"/>
      <c r="AB78" s="29" t="s">
        <v>295</v>
      </c>
      <c r="AC78" s="27" t="n">
        <v>0</v>
      </c>
      <c r="AD78" s="27"/>
      <c r="AE78" s="27" t="n">
        <v>0</v>
      </c>
    </row>
    <row r="79" s="33" customFormat="true" ht="30.75" hidden="false" customHeight="false" outlineLevel="0" collapsed="false">
      <c r="A79" s="25" t="n">
        <v>82</v>
      </c>
      <c r="B79" s="27" t="s">
        <v>296</v>
      </c>
      <c r="C79" s="27" t="s">
        <v>297</v>
      </c>
      <c r="D79" s="27" t="s">
        <v>51</v>
      </c>
      <c r="E79" s="28" t="n">
        <v>4</v>
      </c>
      <c r="F79" s="29" t="s">
        <v>65</v>
      </c>
      <c r="G79" s="25" t="s">
        <v>35</v>
      </c>
      <c r="H79" s="30" t="n">
        <v>0</v>
      </c>
      <c r="I79" s="27" t="n">
        <v>2</v>
      </c>
      <c r="J79" s="27" t="n">
        <v>300</v>
      </c>
      <c r="K79" s="25" t="n">
        <v>-18.2315712</v>
      </c>
      <c r="L79" s="27" t="n">
        <v>-65.3463147</v>
      </c>
      <c r="M79" s="29" t="n">
        <v>0</v>
      </c>
      <c r="N79" s="28" t="n">
        <v>0</v>
      </c>
      <c r="O79" s="28" t="n">
        <v>0</v>
      </c>
      <c r="P79" s="28" t="n">
        <v>0</v>
      </c>
      <c r="Q79" s="28" t="n">
        <v>0</v>
      </c>
      <c r="R79" s="20" t="n">
        <f aca="false">Tableau2[[#This Row],[Nov 2023 (CUIE)]]+Tableau2[[#This Row],[ENE 2024 (Ener)]]+Tableau2[[#This Row],[May 2024 (CUIE)]]+Tableau2[[#This Row],[Nov 2024 (CUIE)]]+Tableau2[[#This Row],[Ene 2025 (CUIE)]]</f>
        <v>0</v>
      </c>
      <c r="S79" s="20" t="n">
        <v>1</v>
      </c>
      <c r="T79" s="20" t="n">
        <v>0</v>
      </c>
      <c r="U79" s="20" t="n">
        <v>0</v>
      </c>
      <c r="V79" s="28"/>
      <c r="W79" s="28"/>
      <c r="X79" s="31" t="n">
        <v>0</v>
      </c>
      <c r="Y79" s="32" t="n">
        <v>0</v>
      </c>
      <c r="Z79" s="27"/>
      <c r="AA79" s="28"/>
      <c r="AB79" s="27"/>
      <c r="AC79" s="27" t="n">
        <v>0</v>
      </c>
      <c r="AD79" s="27"/>
      <c r="AE79" s="27" t="n">
        <v>0</v>
      </c>
    </row>
    <row r="80" customFormat="false" ht="45.75" hidden="false" customHeight="false" outlineLevel="0" collapsed="false">
      <c r="A80" s="19" t="n">
        <v>99</v>
      </c>
      <c r="B80" s="10" t="s">
        <v>298</v>
      </c>
      <c r="C80" s="10" t="s">
        <v>222</v>
      </c>
      <c r="D80" s="10" t="s">
        <v>33</v>
      </c>
      <c r="E80" s="20" t="n">
        <v>8</v>
      </c>
      <c r="F80" s="8" t="s">
        <v>76</v>
      </c>
      <c r="G80" s="19" t="s">
        <v>35</v>
      </c>
      <c r="H80" s="21" t="n">
        <v>0</v>
      </c>
      <c r="I80" s="10" t="n">
        <v>2</v>
      </c>
      <c r="J80" s="10" t="n">
        <v>0</v>
      </c>
      <c r="K80" s="19" t="n">
        <v>-18.1373369</v>
      </c>
      <c r="L80" s="10" t="n">
        <v>-65.5153262</v>
      </c>
      <c r="M80" s="8" t="n">
        <v>0</v>
      </c>
      <c r="N80" s="20" t="n">
        <v>1</v>
      </c>
      <c r="O80" s="20" t="n">
        <v>1</v>
      </c>
      <c r="P80" s="20" t="n">
        <v>1</v>
      </c>
      <c r="Q80" s="20" t="n">
        <v>0</v>
      </c>
      <c r="R80" s="20" t="n">
        <f aca="false">Tableau2[[#This Row],[Nov 2023 (CUIE)]]+Tableau2[[#This Row],[ENE 2024 (Ener)]]+Tableau2[[#This Row],[May 2024 (CUIE)]]+Tableau2[[#This Row],[Nov 2024 (CUIE)]]+Tableau2[[#This Row],[Ene 2025 (CUIE)]]</f>
        <v>3</v>
      </c>
      <c r="S80" s="20" t="n">
        <v>1</v>
      </c>
      <c r="T80" s="20" t="n">
        <v>1</v>
      </c>
      <c r="U80" s="20" t="n">
        <v>1</v>
      </c>
      <c r="V80" s="20"/>
      <c r="W80" s="22" t="s">
        <v>299</v>
      </c>
      <c r="X80" s="23" t="s">
        <v>127</v>
      </c>
      <c r="Y80" s="23" t="s">
        <v>300</v>
      </c>
      <c r="Z80" s="10" t="s">
        <v>39</v>
      </c>
      <c r="AA80" s="20"/>
      <c r="AB80" s="10"/>
      <c r="AC80" s="10" t="n">
        <v>0</v>
      </c>
      <c r="AD80" s="10"/>
      <c r="AE80" s="10" t="n">
        <v>0</v>
      </c>
    </row>
    <row r="81" customFormat="false" ht="30.75" hidden="false" customHeight="false" outlineLevel="0" collapsed="false">
      <c r="A81" s="19" t="n">
        <v>37</v>
      </c>
      <c r="B81" s="10" t="s">
        <v>301</v>
      </c>
      <c r="C81" s="10" t="s">
        <v>302</v>
      </c>
      <c r="D81" s="10" t="s">
        <v>42</v>
      </c>
      <c r="E81" s="20" t="n">
        <v>1</v>
      </c>
      <c r="F81" s="8" t="s">
        <v>93</v>
      </c>
      <c r="G81" s="19" t="s">
        <v>35</v>
      </c>
      <c r="H81" s="21" t="n">
        <v>0</v>
      </c>
      <c r="I81" s="10" t="n">
        <v>4</v>
      </c>
      <c r="J81" s="10" t="n">
        <v>0</v>
      </c>
      <c r="K81" s="19" t="n">
        <v>-18.1648957</v>
      </c>
      <c r="L81" s="10" t="n">
        <v>-65.4710447</v>
      </c>
      <c r="M81" s="8" t="n">
        <v>0</v>
      </c>
      <c r="N81" s="20" t="n">
        <v>1</v>
      </c>
      <c r="O81" s="20" t="n">
        <v>1</v>
      </c>
      <c r="P81" s="20" t="n">
        <v>0</v>
      </c>
      <c r="Q81" s="20" t="n">
        <v>1</v>
      </c>
      <c r="R81" s="20" t="n">
        <f aca="false">Tableau2[[#This Row],[Nov 2023 (CUIE)]]+Tableau2[[#This Row],[ENE 2024 (Ener)]]+Tableau2[[#This Row],[May 2024 (CUIE)]]+Tableau2[[#This Row],[Nov 2024 (CUIE)]]+Tableau2[[#This Row],[Ene 2025 (CUIE)]]</f>
        <v>3</v>
      </c>
      <c r="S81" s="20" t="n">
        <v>1</v>
      </c>
      <c r="T81" s="20" t="n">
        <v>1</v>
      </c>
      <c r="U81" s="20" t="n">
        <v>0</v>
      </c>
      <c r="V81" s="20"/>
      <c r="W81" s="20" t="s">
        <v>303</v>
      </c>
      <c r="X81" s="23" t="s">
        <v>104</v>
      </c>
      <c r="Y81" s="23" t="n">
        <v>0</v>
      </c>
      <c r="Z81" s="10"/>
      <c r="AA81" s="20"/>
      <c r="AB81" s="8" t="s">
        <v>304</v>
      </c>
      <c r="AC81" s="10" t="n">
        <v>0</v>
      </c>
      <c r="AD81" s="10"/>
      <c r="AE81" s="10" t="n">
        <v>0</v>
      </c>
    </row>
    <row r="82" customFormat="false" ht="45.75" hidden="false" customHeight="false" outlineLevel="0" collapsed="false">
      <c r="A82" s="19" t="n">
        <v>83</v>
      </c>
      <c r="B82" s="10" t="s">
        <v>305</v>
      </c>
      <c r="C82" s="10" t="s">
        <v>306</v>
      </c>
      <c r="D82" s="10" t="s">
        <v>51</v>
      </c>
      <c r="E82" s="20" t="n">
        <v>4</v>
      </c>
      <c r="F82" s="8" t="s">
        <v>65</v>
      </c>
      <c r="G82" s="19" t="s">
        <v>61</v>
      </c>
      <c r="H82" s="21" t="s">
        <v>307</v>
      </c>
      <c r="I82" s="10" t="n">
        <v>3</v>
      </c>
      <c r="J82" s="10" t="n">
        <v>200</v>
      </c>
      <c r="K82" s="19" t="n">
        <v>-18.2285092</v>
      </c>
      <c r="L82" s="10" t="n">
        <v>-65.3465505</v>
      </c>
      <c r="M82" s="8" t="n">
        <v>0</v>
      </c>
      <c r="N82" s="20" t="n">
        <v>1</v>
      </c>
      <c r="O82" s="20" t="n">
        <v>0</v>
      </c>
      <c r="P82" s="20" t="n">
        <v>1</v>
      </c>
      <c r="Q82" s="20" t="n">
        <v>0</v>
      </c>
      <c r="R82" s="20" t="n">
        <f aca="false">Tableau2[[#This Row],[Nov 2023 (CUIE)]]+Tableau2[[#This Row],[ENE 2024 (Ener)]]+Tableau2[[#This Row],[May 2024 (CUIE)]]+Tableau2[[#This Row],[Nov 2024 (CUIE)]]+Tableau2[[#This Row],[Ene 2025 (CUIE)]]</f>
        <v>2</v>
      </c>
      <c r="S82" s="20" t="n">
        <v>1</v>
      </c>
      <c r="T82" s="36" t="n">
        <v>1</v>
      </c>
      <c r="U82" s="20" t="n">
        <v>1</v>
      </c>
      <c r="V82" s="20"/>
      <c r="W82" s="22" t="s">
        <v>308</v>
      </c>
      <c r="X82" s="23" t="n">
        <v>0</v>
      </c>
      <c r="Y82" s="35" t="s">
        <v>309</v>
      </c>
      <c r="Z82" s="10"/>
      <c r="AA82" s="20"/>
      <c r="AB82" s="10"/>
      <c r="AC82" s="10" t="n">
        <v>0</v>
      </c>
      <c r="AD82" s="10"/>
      <c r="AE82" s="10" t="n">
        <v>0</v>
      </c>
    </row>
    <row r="83" customFormat="false" ht="45.75" hidden="false" customHeight="false" outlineLevel="0" collapsed="false">
      <c r="A83" s="19" t="s">
        <v>310</v>
      </c>
      <c r="B83" s="10" t="s">
        <v>311</v>
      </c>
      <c r="C83" s="10" t="s">
        <v>312</v>
      </c>
      <c r="D83" s="10" t="s">
        <v>42</v>
      </c>
      <c r="E83" s="20" t="n">
        <v>6</v>
      </c>
      <c r="F83" s="8" t="s">
        <v>47</v>
      </c>
      <c r="G83" s="19" t="s">
        <v>61</v>
      </c>
      <c r="H83" s="50" t="s">
        <v>313</v>
      </c>
      <c r="I83" s="10" t="n">
        <v>3</v>
      </c>
      <c r="J83" s="10" t="n">
        <v>400</v>
      </c>
      <c r="K83" s="19" t="n">
        <v>-18.1484972</v>
      </c>
      <c r="L83" s="10" t="n">
        <v>-65.4761026</v>
      </c>
      <c r="M83" s="8" t="n">
        <v>1</v>
      </c>
      <c r="N83" s="20" t="n">
        <v>0</v>
      </c>
      <c r="O83" s="20" t="n">
        <v>1</v>
      </c>
      <c r="P83" s="20" t="n">
        <v>1</v>
      </c>
      <c r="Q83" s="20" t="n">
        <v>0</v>
      </c>
      <c r="R83" s="20" t="n">
        <f aca="false">Tableau2[[#This Row],[Nov 2023 (CUIE)]]+Tableau2[[#This Row],[ENE 2024 (Ener)]]+Tableau2[[#This Row],[May 2024 (CUIE)]]+Tableau2[[#This Row],[Nov 2024 (CUIE)]]+Tableau2[[#This Row],[Ene 2025 (CUIE)]]</f>
        <v>3</v>
      </c>
      <c r="S83" s="20" t="n">
        <v>1</v>
      </c>
      <c r="T83" s="20" t="n">
        <v>1</v>
      </c>
      <c r="U83" s="20" t="n">
        <v>1</v>
      </c>
      <c r="V83" s="20"/>
      <c r="W83" s="20"/>
      <c r="X83" s="23" t="s">
        <v>104</v>
      </c>
      <c r="Y83" s="35" t="s">
        <v>314</v>
      </c>
      <c r="Z83" s="10" t="s">
        <v>39</v>
      </c>
      <c r="AA83" s="20"/>
      <c r="AB83" s="10"/>
      <c r="AC83" s="10" t="n">
        <v>0</v>
      </c>
      <c r="AD83" s="10"/>
      <c r="AE83" s="10" t="n">
        <v>0</v>
      </c>
    </row>
    <row r="84" customFormat="false" ht="60.75" hidden="false" customHeight="false" outlineLevel="0" collapsed="false">
      <c r="A84" s="19" t="n">
        <v>39</v>
      </c>
      <c r="B84" s="10" t="s">
        <v>315</v>
      </c>
      <c r="C84" s="10" t="s">
        <v>316</v>
      </c>
      <c r="D84" s="10" t="s">
        <v>42</v>
      </c>
      <c r="E84" s="20" t="n">
        <v>3</v>
      </c>
      <c r="F84" s="8" t="s">
        <v>65</v>
      </c>
      <c r="G84" s="19" t="s">
        <v>61</v>
      </c>
      <c r="H84" s="21" t="s">
        <v>317</v>
      </c>
      <c r="I84" s="10" t="n">
        <v>4</v>
      </c>
      <c r="J84" s="10" t="n">
        <v>300</v>
      </c>
      <c r="K84" s="19" t="n">
        <v>-18.1495855</v>
      </c>
      <c r="L84" s="10" t="n">
        <v>-65.4725728</v>
      </c>
      <c r="M84" s="8" t="n">
        <v>0</v>
      </c>
      <c r="N84" s="20" t="n">
        <v>1</v>
      </c>
      <c r="O84" s="20" t="n">
        <v>1</v>
      </c>
      <c r="P84" s="20" t="n">
        <v>1</v>
      </c>
      <c r="Q84" s="20" t="n">
        <v>0</v>
      </c>
      <c r="R84" s="20" t="n">
        <f aca="false">Tableau2[[#This Row],[Nov 2023 (CUIE)]]+Tableau2[[#This Row],[ENE 2024 (Ener)]]+Tableau2[[#This Row],[May 2024 (CUIE)]]+Tableau2[[#This Row],[Nov 2024 (CUIE)]]+Tableau2[[#This Row],[Ene 2025 (CUIE)]]</f>
        <v>3</v>
      </c>
      <c r="S84" s="20" t="n">
        <v>1</v>
      </c>
      <c r="T84" s="36" t="n">
        <v>1</v>
      </c>
      <c r="U84" s="20" t="n">
        <v>1</v>
      </c>
      <c r="V84" s="20"/>
      <c r="W84" s="22" t="s">
        <v>318</v>
      </c>
      <c r="X84" s="23" t="s">
        <v>72</v>
      </c>
      <c r="Y84" s="23" t="s">
        <v>319</v>
      </c>
      <c r="Z84" s="10"/>
      <c r="AA84" s="20"/>
      <c r="AB84" s="10"/>
      <c r="AC84" s="10" t="n">
        <v>0</v>
      </c>
      <c r="AD84" s="10"/>
      <c r="AE84" s="10" t="n">
        <v>0</v>
      </c>
    </row>
    <row r="85" s="46" customFormat="true" ht="45.75" hidden="false" customHeight="false" outlineLevel="0" collapsed="false">
      <c r="A85" s="38" t="n">
        <v>84</v>
      </c>
      <c r="B85" s="39" t="s">
        <v>320</v>
      </c>
      <c r="C85" s="39" t="s">
        <v>321</v>
      </c>
      <c r="D85" s="39" t="s">
        <v>51</v>
      </c>
      <c r="E85" s="40" t="n">
        <v>2</v>
      </c>
      <c r="F85" s="41" t="s">
        <v>125</v>
      </c>
      <c r="G85" s="38" t="s">
        <v>61</v>
      </c>
      <c r="H85" s="42" t="s">
        <v>322</v>
      </c>
      <c r="I85" s="39" t="n">
        <v>6</v>
      </c>
      <c r="J85" s="39" t="n">
        <v>100</v>
      </c>
      <c r="K85" s="38" t="n">
        <v>-18.2348091</v>
      </c>
      <c r="L85" s="39" t="n">
        <v>-65.3474492</v>
      </c>
      <c r="M85" s="41" t="n">
        <v>0</v>
      </c>
      <c r="N85" s="40" t="n">
        <v>1</v>
      </c>
      <c r="O85" s="40" t="n">
        <v>0</v>
      </c>
      <c r="P85" s="40" t="n">
        <v>1</v>
      </c>
      <c r="Q85" s="40" t="n">
        <v>1</v>
      </c>
      <c r="R85" s="40" t="n">
        <f aca="false">Tableau2[[#This Row],[Nov 2023 (CUIE)]]+Tableau2[[#This Row],[ENE 2024 (Ener)]]+Tableau2[[#This Row],[May 2024 (CUIE)]]+Tableau2[[#This Row],[Nov 2024 (CUIE)]]+Tableau2[[#This Row],[Ene 2025 (CUIE)]]</f>
        <v>3</v>
      </c>
      <c r="S85" s="40" t="n">
        <v>1</v>
      </c>
      <c r="T85" s="40" t="n">
        <v>1</v>
      </c>
      <c r="U85" s="40" t="n">
        <v>1</v>
      </c>
      <c r="V85" s="40"/>
      <c r="W85" s="43" t="s">
        <v>323</v>
      </c>
      <c r="X85" s="44" t="n">
        <v>0</v>
      </c>
      <c r="Y85" s="44" t="s">
        <v>324</v>
      </c>
      <c r="Z85" s="39"/>
      <c r="AA85" s="20"/>
      <c r="AB85" s="41" t="s">
        <v>325</v>
      </c>
      <c r="AC85" s="39" t="n">
        <v>1</v>
      </c>
      <c r="AD85" s="41" t="s">
        <v>326</v>
      </c>
      <c r="AE85" s="39" t="n">
        <v>0</v>
      </c>
    </row>
    <row r="86" customFormat="false" ht="60.75" hidden="false" customHeight="false" outlineLevel="0" collapsed="false">
      <c r="A86" s="19" t="n">
        <v>40</v>
      </c>
      <c r="B86" s="10" t="s">
        <v>327</v>
      </c>
      <c r="C86" s="10" t="s">
        <v>328</v>
      </c>
      <c r="D86" s="10" t="s">
        <v>42</v>
      </c>
      <c r="E86" s="20" t="n">
        <v>4</v>
      </c>
      <c r="F86" s="8" t="s">
        <v>65</v>
      </c>
      <c r="G86" s="19" t="s">
        <v>61</v>
      </c>
      <c r="H86" s="21" t="s">
        <v>329</v>
      </c>
      <c r="I86" s="10" t="n">
        <v>2</v>
      </c>
      <c r="J86" s="10" t="n">
        <v>500</v>
      </c>
      <c r="K86" s="52" t="n">
        <v>-18.1498837</v>
      </c>
      <c r="L86" s="10" t="n">
        <v>-65.4762575</v>
      </c>
      <c r="M86" s="8" t="n">
        <v>0</v>
      </c>
      <c r="N86" s="20" t="n">
        <v>1</v>
      </c>
      <c r="O86" s="20" t="n">
        <v>0</v>
      </c>
      <c r="P86" s="20" t="n">
        <v>1</v>
      </c>
      <c r="Q86" s="20" t="n">
        <v>0</v>
      </c>
      <c r="R86" s="20" t="n">
        <f aca="false">Tableau2[[#This Row],[Nov 2023 (CUIE)]]+Tableau2[[#This Row],[ENE 2024 (Ener)]]+Tableau2[[#This Row],[May 2024 (CUIE)]]+Tableau2[[#This Row],[Nov 2024 (CUIE)]]+Tableau2[[#This Row],[Ene 2025 (CUIE)]]</f>
        <v>2</v>
      </c>
      <c r="S86" s="20" t="n">
        <v>1</v>
      </c>
      <c r="T86" s="20" t="n">
        <v>0</v>
      </c>
      <c r="U86" s="20" t="n">
        <v>0</v>
      </c>
      <c r="V86" s="20"/>
      <c r="W86" s="22" t="s">
        <v>330</v>
      </c>
      <c r="X86" s="23" t="n">
        <v>0</v>
      </c>
      <c r="Y86" s="23" t="s">
        <v>331</v>
      </c>
      <c r="Z86" s="10" t="s">
        <v>39</v>
      </c>
      <c r="AA86" s="20"/>
      <c r="AB86" s="10"/>
      <c r="AC86" s="10" t="n">
        <v>0</v>
      </c>
      <c r="AD86" s="10"/>
      <c r="AE86" s="10" t="n">
        <v>0</v>
      </c>
    </row>
    <row r="87" s="33" customFormat="true" ht="45.75" hidden="false" customHeight="false" outlineLevel="0" collapsed="false">
      <c r="A87" s="25" t="n">
        <v>41</v>
      </c>
      <c r="B87" s="27" t="s">
        <v>332</v>
      </c>
      <c r="C87" s="27" t="s">
        <v>194</v>
      </c>
      <c r="D87" s="27" t="s">
        <v>42</v>
      </c>
      <c r="E87" s="28" t="n">
        <v>6</v>
      </c>
      <c r="F87" s="29" t="s">
        <v>76</v>
      </c>
      <c r="G87" s="25" t="s">
        <v>35</v>
      </c>
      <c r="H87" s="30" t="n">
        <v>0</v>
      </c>
      <c r="I87" s="27" t="n">
        <v>4</v>
      </c>
      <c r="J87" s="27" t="n">
        <v>400</v>
      </c>
      <c r="K87" s="25" t="n">
        <v>-18.1258421</v>
      </c>
      <c r="L87" s="27" t="n">
        <v>-65.492891</v>
      </c>
      <c r="M87" s="29" t="n">
        <v>0</v>
      </c>
      <c r="N87" s="28" t="n">
        <v>1</v>
      </c>
      <c r="O87" s="28" t="n">
        <v>0</v>
      </c>
      <c r="P87" s="28" t="n">
        <v>0</v>
      </c>
      <c r="Q87" s="28" t="n">
        <v>0</v>
      </c>
      <c r="R87" s="20" t="n">
        <f aca="false">Tableau2[[#This Row],[Nov 2023 (CUIE)]]+Tableau2[[#This Row],[ENE 2024 (Ener)]]+Tableau2[[#This Row],[May 2024 (CUIE)]]+Tableau2[[#This Row],[Nov 2024 (CUIE)]]+Tableau2[[#This Row],[Ene 2025 (CUIE)]]</f>
        <v>1</v>
      </c>
      <c r="S87" s="20" t="n">
        <v>1</v>
      </c>
      <c r="T87" s="20" t="n">
        <v>0</v>
      </c>
      <c r="U87" s="20" t="n">
        <v>0</v>
      </c>
      <c r="V87" s="28"/>
      <c r="W87" s="34" t="s">
        <v>333</v>
      </c>
      <c r="X87" s="31" t="n">
        <v>0</v>
      </c>
      <c r="Y87" s="32" t="n">
        <v>0</v>
      </c>
      <c r="Z87" s="27"/>
      <c r="AA87" s="28"/>
      <c r="AB87" s="27"/>
      <c r="AC87" s="27" t="n">
        <v>0</v>
      </c>
      <c r="AD87" s="27"/>
      <c r="AE87" s="27" t="n">
        <v>0</v>
      </c>
    </row>
    <row r="88" s="33" customFormat="true" ht="30.75" hidden="false" customHeight="false" outlineLevel="0" collapsed="false">
      <c r="A88" s="25" t="n">
        <v>85</v>
      </c>
      <c r="B88" s="27" t="s">
        <v>332</v>
      </c>
      <c r="C88" s="27" t="s">
        <v>334</v>
      </c>
      <c r="D88" s="27" t="s">
        <v>51</v>
      </c>
      <c r="E88" s="28" t="n">
        <v>4</v>
      </c>
      <c r="F88" s="29" t="s">
        <v>65</v>
      </c>
      <c r="G88" s="25" t="s">
        <v>35</v>
      </c>
      <c r="H88" s="30" t="n">
        <v>0</v>
      </c>
      <c r="I88" s="27" t="n">
        <v>3</v>
      </c>
      <c r="J88" s="27" t="n">
        <v>500</v>
      </c>
      <c r="K88" s="25" t="n">
        <v>-18.2392443</v>
      </c>
      <c r="L88" s="27" t="n">
        <v>-65.3397352</v>
      </c>
      <c r="M88" s="29" t="n">
        <v>0</v>
      </c>
      <c r="N88" s="28" t="n">
        <v>0</v>
      </c>
      <c r="O88" s="28" t="n">
        <v>0</v>
      </c>
      <c r="P88" s="28" t="n">
        <v>0</v>
      </c>
      <c r="Q88" s="28" t="n">
        <v>0</v>
      </c>
      <c r="R88" s="20" t="n">
        <f aca="false">Tableau2[[#This Row],[Nov 2023 (CUIE)]]+Tableau2[[#This Row],[ENE 2024 (Ener)]]+Tableau2[[#This Row],[May 2024 (CUIE)]]+Tableau2[[#This Row],[Nov 2024 (CUIE)]]+Tableau2[[#This Row],[Ene 2025 (CUIE)]]</f>
        <v>0</v>
      </c>
      <c r="S88" s="20" t="n">
        <v>1</v>
      </c>
      <c r="T88" s="20" t="n">
        <v>0</v>
      </c>
      <c r="U88" s="20" t="n">
        <v>0</v>
      </c>
      <c r="V88" s="28"/>
      <c r="W88" s="28"/>
      <c r="X88" s="31" t="n">
        <v>0</v>
      </c>
      <c r="Y88" s="32" t="n">
        <v>0</v>
      </c>
      <c r="Z88" s="27"/>
      <c r="AA88" s="28"/>
      <c r="AB88" s="27"/>
      <c r="AC88" s="27" t="n">
        <v>0</v>
      </c>
      <c r="AD88" s="27"/>
      <c r="AE88" s="27" t="n">
        <v>0</v>
      </c>
    </row>
    <row r="89" customFormat="false" ht="15" hidden="false" customHeight="false" outlineLevel="0" collapsed="false">
      <c r="A89" s="19" t="n">
        <v>86</v>
      </c>
      <c r="B89" s="10" t="s">
        <v>335</v>
      </c>
      <c r="C89" s="10" t="s">
        <v>336</v>
      </c>
      <c r="D89" s="10" t="s">
        <v>51</v>
      </c>
      <c r="E89" s="20" t="n">
        <v>1</v>
      </c>
      <c r="F89" s="8" t="s">
        <v>93</v>
      </c>
      <c r="G89" s="19" t="s">
        <v>35</v>
      </c>
      <c r="H89" s="21" t="n">
        <v>0</v>
      </c>
      <c r="I89" s="10" t="n">
        <v>4</v>
      </c>
      <c r="J89" s="10" t="n">
        <v>100</v>
      </c>
      <c r="K89" s="19" t="n">
        <v>-18.2370508</v>
      </c>
      <c r="L89" s="10" t="n">
        <v>-65.3416885</v>
      </c>
      <c r="M89" s="8" t="n">
        <v>1</v>
      </c>
      <c r="N89" s="20" t="n">
        <v>0</v>
      </c>
      <c r="O89" s="20" t="n">
        <v>0</v>
      </c>
      <c r="P89" s="20" t="n">
        <v>0</v>
      </c>
      <c r="Q89" s="20" t="n">
        <v>0</v>
      </c>
      <c r="R89" s="20" t="n">
        <f aca="false">Tableau2[[#This Row],[Nov 2023 (CUIE)]]+Tableau2[[#This Row],[ENE 2024 (Ener)]]+Tableau2[[#This Row],[May 2024 (CUIE)]]+Tableau2[[#This Row],[Nov 2024 (CUIE)]]+Tableau2[[#This Row],[Ene 2025 (CUIE)]]</f>
        <v>1</v>
      </c>
      <c r="S89" s="20" t="n">
        <v>1</v>
      </c>
      <c r="T89" s="20" t="n">
        <v>1</v>
      </c>
      <c r="U89" s="20" t="n">
        <v>0</v>
      </c>
      <c r="V89" s="20"/>
      <c r="W89" s="20"/>
      <c r="X89" s="23" t="s">
        <v>37</v>
      </c>
      <c r="Y89" s="47" t="n">
        <v>0</v>
      </c>
      <c r="Z89" s="10"/>
      <c r="AA89" s="20"/>
      <c r="AB89" s="10"/>
      <c r="AC89" s="10" t="n">
        <v>0</v>
      </c>
      <c r="AD89" s="10"/>
      <c r="AE89" s="10" t="n">
        <v>0</v>
      </c>
    </row>
    <row r="90" customFormat="false" ht="15" hidden="false" customHeight="false" outlineLevel="0" collapsed="false">
      <c r="A90" s="19" t="n">
        <v>42</v>
      </c>
      <c r="B90" s="10" t="s">
        <v>337</v>
      </c>
      <c r="C90" s="10" t="s">
        <v>338</v>
      </c>
      <c r="D90" s="10" t="s">
        <v>42</v>
      </c>
      <c r="E90" s="20" t="n">
        <v>2</v>
      </c>
      <c r="F90" s="8" t="s">
        <v>52</v>
      </c>
      <c r="G90" s="19" t="s">
        <v>35</v>
      </c>
      <c r="H90" s="21" t="n">
        <v>0</v>
      </c>
      <c r="I90" s="10" t="n">
        <v>1</v>
      </c>
      <c r="J90" s="10" t="n">
        <v>300</v>
      </c>
      <c r="K90" s="19" t="n">
        <v>-18.1486093</v>
      </c>
      <c r="L90" s="10" t="n">
        <v>-65.4760704</v>
      </c>
      <c r="M90" s="8" t="n">
        <v>0</v>
      </c>
      <c r="N90" s="20" t="n">
        <v>0</v>
      </c>
      <c r="O90" s="20" t="n">
        <v>1</v>
      </c>
      <c r="P90" s="20" t="n">
        <v>0</v>
      </c>
      <c r="Q90" s="20" t="n">
        <v>0</v>
      </c>
      <c r="R90" s="20" t="n">
        <f aca="false">Tableau2[[#This Row],[Nov 2023 (CUIE)]]+Tableau2[[#This Row],[ENE 2024 (Ener)]]+Tableau2[[#This Row],[May 2024 (CUIE)]]+Tableau2[[#This Row],[Nov 2024 (CUIE)]]+Tableau2[[#This Row],[Ene 2025 (CUIE)]]</f>
        <v>1</v>
      </c>
      <c r="S90" s="20" t="n">
        <v>1</v>
      </c>
      <c r="T90" s="20" t="n">
        <v>1</v>
      </c>
      <c r="U90" s="20" t="n">
        <v>1</v>
      </c>
      <c r="V90" s="20"/>
      <c r="W90" s="20"/>
      <c r="X90" s="23" t="s">
        <v>104</v>
      </c>
      <c r="Y90" s="47" t="n">
        <v>0</v>
      </c>
      <c r="Z90" s="10"/>
      <c r="AA90" s="20"/>
      <c r="AB90" s="10"/>
      <c r="AC90" s="10" t="n">
        <v>0</v>
      </c>
      <c r="AD90" s="10"/>
      <c r="AE90" s="10" t="n">
        <v>0</v>
      </c>
    </row>
    <row r="91" customFormat="false" ht="76.5" hidden="false" customHeight="false" outlineLevel="0" collapsed="false">
      <c r="A91" s="19" t="n">
        <v>100</v>
      </c>
      <c r="B91" s="10" t="s">
        <v>339</v>
      </c>
      <c r="C91" s="10" t="s">
        <v>340</v>
      </c>
      <c r="D91" s="10" t="s">
        <v>33</v>
      </c>
      <c r="E91" s="20" t="n">
        <v>3</v>
      </c>
      <c r="F91" s="8" t="s">
        <v>65</v>
      </c>
      <c r="G91" s="19" t="s">
        <v>35</v>
      </c>
      <c r="H91" s="21" t="n">
        <v>0</v>
      </c>
      <c r="I91" s="10" t="n">
        <v>4</v>
      </c>
      <c r="J91" s="10" t="n">
        <v>200</v>
      </c>
      <c r="K91" s="19" t="n">
        <v>-18.1378492</v>
      </c>
      <c r="L91" s="10" t="n">
        <v>-65.5147763</v>
      </c>
      <c r="M91" s="8" t="n">
        <v>0</v>
      </c>
      <c r="N91" s="20" t="n">
        <v>1</v>
      </c>
      <c r="O91" s="20" t="n">
        <v>1</v>
      </c>
      <c r="P91" s="20" t="n">
        <v>1</v>
      </c>
      <c r="Q91" s="20" t="n">
        <v>0</v>
      </c>
      <c r="R91" s="20" t="n">
        <f aca="false">Tableau2[[#This Row],[Nov 2023 (CUIE)]]+Tableau2[[#This Row],[ENE 2024 (Ener)]]+Tableau2[[#This Row],[May 2024 (CUIE)]]+Tableau2[[#This Row],[Nov 2024 (CUIE)]]+Tableau2[[#This Row],[Ene 2025 (CUIE)]]</f>
        <v>3</v>
      </c>
      <c r="S91" s="20" t="n">
        <v>1</v>
      </c>
      <c r="T91" s="20" t="n">
        <v>1</v>
      </c>
      <c r="U91" s="20" t="n">
        <v>0</v>
      </c>
      <c r="V91" s="20"/>
      <c r="W91" s="22" t="s">
        <v>341</v>
      </c>
      <c r="X91" s="23" t="s">
        <v>37</v>
      </c>
      <c r="Y91" s="23" t="s">
        <v>300</v>
      </c>
      <c r="Z91" s="10" t="s">
        <v>39</v>
      </c>
      <c r="AA91" s="20"/>
      <c r="AB91" s="10"/>
      <c r="AC91" s="10" t="n">
        <v>0</v>
      </c>
      <c r="AD91" s="10"/>
      <c r="AE91" s="10" t="n">
        <v>0</v>
      </c>
    </row>
    <row r="92" customFormat="false" ht="30.75" hidden="false" customHeight="false" outlineLevel="0" collapsed="false">
      <c r="A92" s="19" t="n">
        <v>52</v>
      </c>
      <c r="B92" s="10" t="s">
        <v>342</v>
      </c>
      <c r="C92" s="10" t="s">
        <v>272</v>
      </c>
      <c r="D92" s="10" t="s">
        <v>59</v>
      </c>
      <c r="E92" s="20" t="n">
        <v>4</v>
      </c>
      <c r="F92" s="8" t="s">
        <v>65</v>
      </c>
      <c r="G92" s="19" t="s">
        <v>35</v>
      </c>
      <c r="H92" s="21" t="n">
        <v>0</v>
      </c>
      <c r="I92" s="10" t="n">
        <v>2</v>
      </c>
      <c r="J92" s="10" t="n">
        <v>300</v>
      </c>
      <c r="K92" s="19" t="n">
        <v>-18.1398139</v>
      </c>
      <c r="L92" s="10" t="n">
        <v>-65.4574805</v>
      </c>
      <c r="M92" s="8" t="n">
        <v>0</v>
      </c>
      <c r="N92" s="20" t="n">
        <v>0</v>
      </c>
      <c r="O92" s="20" t="n">
        <v>0</v>
      </c>
      <c r="P92" s="20" t="n">
        <v>0</v>
      </c>
      <c r="Q92" s="20" t="n">
        <v>0</v>
      </c>
      <c r="R92" s="20" t="n">
        <f aca="false">Tableau2[[#This Row],[Nov 2023 (CUIE)]]+Tableau2[[#This Row],[ENE 2024 (Ener)]]+Tableau2[[#This Row],[May 2024 (CUIE)]]+Tableau2[[#This Row],[Nov 2024 (CUIE)]]+Tableau2[[#This Row],[Ene 2025 (CUIE)]]</f>
        <v>0</v>
      </c>
      <c r="S92" s="20" t="n">
        <v>1</v>
      </c>
      <c r="T92" s="20" t="n">
        <v>0</v>
      </c>
      <c r="U92" s="20" t="n">
        <v>0</v>
      </c>
      <c r="V92" s="20"/>
      <c r="W92" s="20"/>
      <c r="X92" s="23" t="n">
        <v>0</v>
      </c>
      <c r="Y92" s="47" t="n">
        <v>0</v>
      </c>
      <c r="Z92" s="10"/>
      <c r="AA92" s="20"/>
      <c r="AB92" s="10"/>
      <c r="AC92" s="10" t="n">
        <v>0</v>
      </c>
      <c r="AD92" s="10"/>
      <c r="AE92" s="10" t="n">
        <v>0</v>
      </c>
    </row>
    <row r="93" customFormat="false" ht="30.75" hidden="false" customHeight="false" outlineLevel="0" collapsed="false">
      <c r="A93" s="19" t="n">
        <v>87</v>
      </c>
      <c r="B93" s="10" t="s">
        <v>343</v>
      </c>
      <c r="C93" s="10" t="s">
        <v>344</v>
      </c>
      <c r="D93" s="10" t="s">
        <v>51</v>
      </c>
      <c r="E93" s="20" t="n">
        <v>4</v>
      </c>
      <c r="F93" s="8" t="s">
        <v>34</v>
      </c>
      <c r="G93" s="19" t="s">
        <v>35</v>
      </c>
      <c r="H93" s="21" t="n">
        <v>0</v>
      </c>
      <c r="I93" s="10" t="n">
        <v>2</v>
      </c>
      <c r="J93" s="10" t="n">
        <v>500</v>
      </c>
      <c r="K93" s="19" t="n">
        <v>-18.2331247</v>
      </c>
      <c r="L93" s="10" t="n">
        <v>-65.3520674</v>
      </c>
      <c r="M93" s="8" t="n">
        <v>0</v>
      </c>
      <c r="N93" s="20" t="n">
        <v>1</v>
      </c>
      <c r="O93" s="20" t="n">
        <v>0</v>
      </c>
      <c r="P93" s="20" t="n">
        <v>0</v>
      </c>
      <c r="Q93" s="20" t="n">
        <v>0</v>
      </c>
      <c r="R93" s="20" t="n">
        <f aca="false">Tableau2[[#This Row],[Nov 2023 (CUIE)]]+Tableau2[[#This Row],[ENE 2024 (Ener)]]+Tableau2[[#This Row],[May 2024 (CUIE)]]+Tableau2[[#This Row],[Nov 2024 (CUIE)]]+Tableau2[[#This Row],[Ene 2025 (CUIE)]]</f>
        <v>1</v>
      </c>
      <c r="S93" s="20" t="n">
        <v>1</v>
      </c>
      <c r="T93" s="20" t="n">
        <v>0</v>
      </c>
      <c r="U93" s="20" t="n">
        <v>0</v>
      </c>
      <c r="V93" s="20"/>
      <c r="W93" s="22" t="s">
        <v>345</v>
      </c>
      <c r="X93" s="23" t="n">
        <v>0</v>
      </c>
      <c r="Y93" s="47" t="n">
        <v>0</v>
      </c>
      <c r="Z93" s="10"/>
      <c r="AA93" s="20"/>
      <c r="AB93" s="10"/>
      <c r="AC93" s="10" t="n">
        <v>0</v>
      </c>
      <c r="AD93" s="10"/>
      <c r="AE93" s="10" t="n">
        <v>0</v>
      </c>
    </row>
    <row r="94" customFormat="false" ht="15" hidden="false" customHeight="false" outlineLevel="0" collapsed="false">
      <c r="A94" s="19" t="n">
        <v>43</v>
      </c>
      <c r="B94" s="10" t="s">
        <v>346</v>
      </c>
      <c r="C94" s="10" t="s">
        <v>347</v>
      </c>
      <c r="D94" s="10" t="s">
        <v>42</v>
      </c>
      <c r="E94" s="20" t="n">
        <v>4</v>
      </c>
      <c r="F94" s="8" t="s">
        <v>348</v>
      </c>
      <c r="G94" s="19" t="s">
        <v>35</v>
      </c>
      <c r="H94" s="21" t="n">
        <v>0</v>
      </c>
      <c r="I94" s="10" t="n">
        <v>3</v>
      </c>
      <c r="J94" s="10" t="n">
        <v>0</v>
      </c>
      <c r="K94" s="19" t="n">
        <v>-18.1553166</v>
      </c>
      <c r="L94" s="10" t="n">
        <v>-65.4618251</v>
      </c>
      <c r="M94" s="8" t="n">
        <v>0</v>
      </c>
      <c r="N94" s="20" t="n">
        <v>0</v>
      </c>
      <c r="O94" s="20" t="n">
        <v>0</v>
      </c>
      <c r="P94" s="20" t="n">
        <v>0</v>
      </c>
      <c r="Q94" s="20" t="n">
        <v>0</v>
      </c>
      <c r="R94" s="20" t="n">
        <f aca="false">Tableau2[[#This Row],[Nov 2023 (CUIE)]]+Tableau2[[#This Row],[ENE 2024 (Ener)]]+Tableau2[[#This Row],[May 2024 (CUIE)]]+Tableau2[[#This Row],[Nov 2024 (CUIE)]]+Tableau2[[#This Row],[Ene 2025 (CUIE)]]</f>
        <v>0</v>
      </c>
      <c r="S94" s="20" t="n">
        <v>1</v>
      </c>
      <c r="T94" s="20" t="n">
        <v>0</v>
      </c>
      <c r="U94" s="20" t="n">
        <v>0</v>
      </c>
      <c r="V94" s="20"/>
      <c r="W94" s="20"/>
      <c r="X94" s="23" t="n">
        <v>0</v>
      </c>
      <c r="Y94" s="47" t="n">
        <v>0</v>
      </c>
      <c r="Z94" s="10"/>
      <c r="AA94" s="20"/>
      <c r="AB94" s="10"/>
      <c r="AC94" s="10" t="n">
        <v>0</v>
      </c>
      <c r="AD94" s="10"/>
      <c r="AE94" s="10" t="n">
        <v>0</v>
      </c>
    </row>
    <row r="95" customFormat="false" ht="106.5" hidden="false" customHeight="false" outlineLevel="0" collapsed="false">
      <c r="A95" s="19" t="n">
        <v>91</v>
      </c>
      <c r="B95" s="10" t="s">
        <v>349</v>
      </c>
      <c r="C95" s="10" t="s">
        <v>350</v>
      </c>
      <c r="D95" s="10" t="s">
        <v>33</v>
      </c>
      <c r="E95" s="20" t="n">
        <v>1</v>
      </c>
      <c r="F95" s="8" t="s">
        <v>93</v>
      </c>
      <c r="G95" s="19" t="s">
        <v>35</v>
      </c>
      <c r="H95" s="21" t="n">
        <v>0</v>
      </c>
      <c r="I95" s="10" t="n">
        <v>3</v>
      </c>
      <c r="J95" s="10" t="n">
        <v>0</v>
      </c>
      <c r="K95" s="19" t="n">
        <v>-18.136595</v>
      </c>
      <c r="L95" s="10" t="n">
        <v>-65.5017122</v>
      </c>
      <c r="M95" s="8" t="n">
        <v>0</v>
      </c>
      <c r="N95" s="20" t="n">
        <v>1</v>
      </c>
      <c r="O95" s="20" t="n">
        <v>1</v>
      </c>
      <c r="P95" s="20" t="n">
        <v>1</v>
      </c>
      <c r="Q95" s="20" t="n">
        <v>0</v>
      </c>
      <c r="R95" s="20" t="n">
        <f aca="false">Tableau2[[#This Row],[Nov 2023 (CUIE)]]+Tableau2[[#This Row],[ENE 2024 (Ener)]]+Tableau2[[#This Row],[May 2024 (CUIE)]]+Tableau2[[#This Row],[Nov 2024 (CUIE)]]+Tableau2[[#This Row],[Ene 2025 (CUIE)]]</f>
        <v>3</v>
      </c>
      <c r="S95" s="20" t="n">
        <v>1</v>
      </c>
      <c r="T95" s="20" t="n">
        <v>1</v>
      </c>
      <c r="U95" s="20" t="n">
        <v>1</v>
      </c>
      <c r="V95" s="20"/>
      <c r="W95" s="22" t="s">
        <v>351</v>
      </c>
      <c r="X95" s="23" t="s">
        <v>352</v>
      </c>
      <c r="Y95" s="23" t="s">
        <v>353</v>
      </c>
      <c r="Z95" s="10"/>
      <c r="AA95" s="20"/>
      <c r="AB95" s="10"/>
      <c r="AC95" s="10" t="n">
        <v>0</v>
      </c>
      <c r="AD95" s="10"/>
      <c r="AE95" s="10" t="n">
        <v>0</v>
      </c>
    </row>
    <row r="96" customFormat="false" ht="45.75" hidden="false" customHeight="false" outlineLevel="0" collapsed="false">
      <c r="A96" s="19" t="n">
        <v>44</v>
      </c>
      <c r="B96" s="10" t="s">
        <v>354</v>
      </c>
      <c r="C96" s="10" t="s">
        <v>152</v>
      </c>
      <c r="D96" s="10" t="s">
        <v>42</v>
      </c>
      <c r="E96" s="20" t="n">
        <v>6</v>
      </c>
      <c r="F96" s="8" t="s">
        <v>76</v>
      </c>
      <c r="G96" s="19" t="s">
        <v>35</v>
      </c>
      <c r="H96" s="21" t="n">
        <v>0</v>
      </c>
      <c r="I96" s="10" t="n">
        <v>3</v>
      </c>
      <c r="J96" s="10" t="n">
        <v>200</v>
      </c>
      <c r="K96" s="19" t="n">
        <v>-18.1671615</v>
      </c>
      <c r="L96" s="10" t="n">
        <v>-65.4659238</v>
      </c>
      <c r="M96" s="8" t="n">
        <v>0</v>
      </c>
      <c r="N96" s="20" t="n">
        <v>1</v>
      </c>
      <c r="O96" s="20" t="n">
        <v>1</v>
      </c>
      <c r="P96" s="20" t="n">
        <v>0</v>
      </c>
      <c r="Q96" s="20" t="n">
        <v>0</v>
      </c>
      <c r="R96" s="20" t="n">
        <f aca="false">Tableau2[[#This Row],[Nov 2023 (CUIE)]]+Tableau2[[#This Row],[ENE 2024 (Ener)]]+Tableau2[[#This Row],[May 2024 (CUIE)]]+Tableau2[[#This Row],[Nov 2024 (CUIE)]]+Tableau2[[#This Row],[Ene 2025 (CUIE)]]</f>
        <v>2</v>
      </c>
      <c r="S96" s="20" t="n">
        <v>1</v>
      </c>
      <c r="T96" s="20" t="n">
        <v>1</v>
      </c>
      <c r="U96" s="20" t="n">
        <v>0</v>
      </c>
      <c r="V96" s="20"/>
      <c r="W96" s="20" t="s">
        <v>355</v>
      </c>
      <c r="X96" s="23" t="s">
        <v>356</v>
      </c>
      <c r="Y96" s="47" t="n">
        <v>0</v>
      </c>
      <c r="Z96" s="10"/>
      <c r="AA96" s="20"/>
      <c r="AB96" s="10"/>
      <c r="AC96" s="10" t="n">
        <v>0</v>
      </c>
      <c r="AD96" s="10"/>
      <c r="AE96" s="10" t="n">
        <v>0</v>
      </c>
    </row>
    <row r="97" customFormat="false" ht="30.75" hidden="false" customHeight="false" outlineLevel="0" collapsed="false">
      <c r="A97" s="19" t="n">
        <v>88</v>
      </c>
      <c r="B97" s="10" t="s">
        <v>354</v>
      </c>
      <c r="C97" s="10" t="s">
        <v>357</v>
      </c>
      <c r="D97" s="10" t="s">
        <v>51</v>
      </c>
      <c r="E97" s="20" t="n">
        <v>5</v>
      </c>
      <c r="F97" s="8" t="s">
        <v>137</v>
      </c>
      <c r="G97" s="19" t="s">
        <v>35</v>
      </c>
      <c r="H97" s="21" t="n">
        <v>0</v>
      </c>
      <c r="I97" s="10" t="n">
        <v>4</v>
      </c>
      <c r="J97" s="10" t="n">
        <v>100</v>
      </c>
      <c r="K97" s="19" t="n">
        <v>-18.2315985</v>
      </c>
      <c r="L97" s="10" t="n">
        <v>-65.3535658</v>
      </c>
      <c r="M97" s="8" t="n">
        <v>0</v>
      </c>
      <c r="N97" s="20" t="n">
        <v>1</v>
      </c>
      <c r="O97" s="20" t="n">
        <v>1</v>
      </c>
      <c r="P97" s="20" t="n">
        <v>0</v>
      </c>
      <c r="Q97" s="20" t="n">
        <v>0</v>
      </c>
      <c r="R97" s="20" t="n">
        <f aca="false">Tableau2[[#This Row],[Nov 2023 (CUIE)]]+Tableau2[[#This Row],[ENE 2024 (Ener)]]+Tableau2[[#This Row],[May 2024 (CUIE)]]+Tableau2[[#This Row],[Nov 2024 (CUIE)]]+Tableau2[[#This Row],[Ene 2025 (CUIE)]]</f>
        <v>2</v>
      </c>
      <c r="S97" s="20" t="n">
        <v>1</v>
      </c>
      <c r="T97" s="20" t="n">
        <v>1</v>
      </c>
      <c r="U97" s="20" t="n">
        <v>0</v>
      </c>
      <c r="V97" s="20"/>
      <c r="W97" s="22" t="s">
        <v>358</v>
      </c>
      <c r="X97" s="23" t="s">
        <v>359</v>
      </c>
      <c r="Y97" s="47" t="n">
        <v>0</v>
      </c>
      <c r="Z97" s="10"/>
      <c r="AA97" s="20"/>
      <c r="AB97" s="10"/>
      <c r="AC97" s="10" t="n">
        <v>0</v>
      </c>
      <c r="AD97" s="10"/>
      <c r="AE97" s="10" t="n">
        <v>0</v>
      </c>
    </row>
    <row r="98" customFormat="false" ht="45.75" hidden="false" customHeight="false" outlineLevel="0" collapsed="false">
      <c r="A98" s="19" t="n">
        <v>45</v>
      </c>
      <c r="B98" s="10" t="s">
        <v>360</v>
      </c>
      <c r="C98" s="10" t="s">
        <v>361</v>
      </c>
      <c r="D98" s="10" t="s">
        <v>42</v>
      </c>
      <c r="E98" s="20" t="n">
        <v>7</v>
      </c>
      <c r="F98" s="8" t="s">
        <v>76</v>
      </c>
      <c r="G98" s="19" t="s">
        <v>61</v>
      </c>
      <c r="H98" s="21" t="s">
        <v>362</v>
      </c>
      <c r="I98" s="10" t="n">
        <v>4</v>
      </c>
      <c r="J98" s="10" t="n">
        <v>200</v>
      </c>
      <c r="K98" s="19" t="n">
        <v>-18.1825061</v>
      </c>
      <c r="L98" s="10" t="n">
        <v>-65.4673011</v>
      </c>
      <c r="M98" s="8" t="n">
        <v>0</v>
      </c>
      <c r="N98" s="20" t="n">
        <v>1</v>
      </c>
      <c r="O98" s="20" t="n">
        <v>0</v>
      </c>
      <c r="P98" s="20" t="n">
        <v>0</v>
      </c>
      <c r="Q98" s="20" t="n">
        <v>0</v>
      </c>
      <c r="R98" s="20" t="n">
        <f aca="false">Tableau2[[#This Row],[Nov 2023 (CUIE)]]+Tableau2[[#This Row],[ENE 2024 (Ener)]]+Tableau2[[#This Row],[May 2024 (CUIE)]]+Tableau2[[#This Row],[Nov 2024 (CUIE)]]+Tableau2[[#This Row],[Ene 2025 (CUIE)]]</f>
        <v>1</v>
      </c>
      <c r="S98" s="20" t="n">
        <v>1</v>
      </c>
      <c r="T98" s="20" t="n">
        <v>0</v>
      </c>
      <c r="U98" s="20" t="n">
        <v>0</v>
      </c>
      <c r="V98" s="20"/>
      <c r="W98" s="22" t="s">
        <v>363</v>
      </c>
      <c r="X98" s="23" t="n">
        <v>0</v>
      </c>
      <c r="Y98" s="47" t="n">
        <v>0</v>
      </c>
      <c r="Z98" s="10"/>
      <c r="AA98" s="20"/>
      <c r="AB98" s="10"/>
      <c r="AC98" s="10" t="n">
        <v>0</v>
      </c>
      <c r="AD98" s="10"/>
      <c r="AE98" s="10" t="n">
        <v>0</v>
      </c>
    </row>
    <row r="99" customFormat="false" ht="30.75" hidden="false" customHeight="false" outlineLevel="0" collapsed="false">
      <c r="A99" s="19" t="n">
        <v>89</v>
      </c>
      <c r="B99" s="10" t="s">
        <v>364</v>
      </c>
      <c r="C99" s="10" t="s">
        <v>131</v>
      </c>
      <c r="D99" s="10" t="s">
        <v>51</v>
      </c>
      <c r="E99" s="20" t="n">
        <v>3</v>
      </c>
      <c r="F99" s="8" t="s">
        <v>65</v>
      </c>
      <c r="G99" s="19" t="s">
        <v>35</v>
      </c>
      <c r="H99" s="21" t="n">
        <v>0</v>
      </c>
      <c r="I99" s="10" t="n">
        <v>4</v>
      </c>
      <c r="J99" s="10" t="n">
        <v>200</v>
      </c>
      <c r="K99" s="19" t="n">
        <v>-18.2348211</v>
      </c>
      <c r="L99" s="10" t="n">
        <v>-65.340998</v>
      </c>
      <c r="M99" s="8" t="n">
        <v>0</v>
      </c>
      <c r="N99" s="20" t="n">
        <v>0</v>
      </c>
      <c r="O99" s="20" t="n">
        <v>0</v>
      </c>
      <c r="P99" s="20" t="n">
        <v>0</v>
      </c>
      <c r="Q99" s="20" t="n">
        <v>0</v>
      </c>
      <c r="R99" s="20" t="n">
        <f aca="false">Tableau2[[#This Row],[Nov 2023 (CUIE)]]+Tableau2[[#This Row],[ENE 2024 (Ener)]]+Tableau2[[#This Row],[May 2024 (CUIE)]]+Tableau2[[#This Row],[Nov 2024 (CUIE)]]+Tableau2[[#This Row],[Ene 2025 (CUIE)]]</f>
        <v>0</v>
      </c>
      <c r="S99" s="20" t="n">
        <v>1</v>
      </c>
      <c r="T99" s="20" t="n">
        <v>0</v>
      </c>
      <c r="U99" s="20" t="n">
        <v>0</v>
      </c>
      <c r="V99" s="20"/>
      <c r="W99" s="20"/>
      <c r="X99" s="23" t="n">
        <v>0</v>
      </c>
      <c r="Y99" s="47" t="n">
        <v>0</v>
      </c>
      <c r="Z99" s="10"/>
      <c r="AA99" s="20"/>
      <c r="AB99" s="10"/>
      <c r="AC99" s="10" t="n">
        <v>0</v>
      </c>
      <c r="AD99" s="10"/>
      <c r="AE99" s="10" t="n">
        <v>0</v>
      </c>
    </row>
    <row r="100" customFormat="false" ht="45.75" hidden="false" customHeight="false" outlineLevel="0" collapsed="false">
      <c r="A100" s="19" t="n">
        <v>53</v>
      </c>
      <c r="B100" s="10" t="s">
        <v>365</v>
      </c>
      <c r="C100" s="10" t="s">
        <v>366</v>
      </c>
      <c r="D100" s="10" t="s">
        <v>59</v>
      </c>
      <c r="E100" s="20" t="n">
        <v>6</v>
      </c>
      <c r="F100" s="8" t="s">
        <v>76</v>
      </c>
      <c r="G100" s="19" t="s">
        <v>35</v>
      </c>
      <c r="H100" s="21" t="n">
        <v>0</v>
      </c>
      <c r="I100" s="10" t="n">
        <v>2</v>
      </c>
      <c r="J100" s="10" t="n">
        <v>0</v>
      </c>
      <c r="K100" s="19" t="n">
        <v>-18.1770119</v>
      </c>
      <c r="L100" s="10" t="n">
        <v>-65.3893213</v>
      </c>
      <c r="M100" s="8" t="n">
        <v>0</v>
      </c>
      <c r="N100" s="20" t="n">
        <v>0</v>
      </c>
      <c r="O100" s="20" t="n">
        <v>1</v>
      </c>
      <c r="P100" s="20" t="n">
        <v>0</v>
      </c>
      <c r="Q100" s="20" t="n">
        <v>0</v>
      </c>
      <c r="R100" s="20" t="n">
        <f aca="false">Tableau2[[#This Row],[Nov 2023 (CUIE)]]+Tableau2[[#This Row],[ENE 2024 (Ener)]]+Tableau2[[#This Row],[May 2024 (CUIE)]]+Tableau2[[#This Row],[Nov 2024 (CUIE)]]+Tableau2[[#This Row],[Ene 2025 (CUIE)]]</f>
        <v>1</v>
      </c>
      <c r="S100" s="20" t="n">
        <v>1</v>
      </c>
      <c r="T100" s="20" t="n">
        <v>1</v>
      </c>
      <c r="U100" s="20" t="n">
        <v>0</v>
      </c>
      <c r="V100" s="20"/>
      <c r="W100" s="20"/>
      <c r="X100" s="23" t="s">
        <v>127</v>
      </c>
      <c r="Y100" s="37" t="n">
        <v>0</v>
      </c>
      <c r="Z100" s="10"/>
      <c r="AA100" s="20"/>
      <c r="AB100" s="10"/>
      <c r="AC100" s="10" t="n">
        <v>0</v>
      </c>
      <c r="AD100" s="10"/>
      <c r="AE100" s="10" t="n">
        <v>0</v>
      </c>
    </row>
    <row r="101" customFormat="false" ht="45.75" hidden="false" customHeight="false" outlineLevel="0" collapsed="false">
      <c r="A101" s="53" t="n">
        <v>54</v>
      </c>
      <c r="B101" s="54" t="s">
        <v>367</v>
      </c>
      <c r="C101" s="54" t="s">
        <v>366</v>
      </c>
      <c r="D101" s="54" t="s">
        <v>59</v>
      </c>
      <c r="E101" s="55" t="n">
        <v>6</v>
      </c>
      <c r="F101" s="8" t="s">
        <v>76</v>
      </c>
      <c r="G101" s="53" t="s">
        <v>35</v>
      </c>
      <c r="H101" s="56" t="n">
        <v>0</v>
      </c>
      <c r="I101" s="10" t="n">
        <v>1</v>
      </c>
      <c r="J101" s="10" t="n">
        <v>100</v>
      </c>
      <c r="K101" s="53" t="n">
        <v>-18.1367085</v>
      </c>
      <c r="L101" s="54" t="n">
        <v>-65.4682569</v>
      </c>
      <c r="M101" s="57" t="n">
        <v>0</v>
      </c>
      <c r="N101" s="55" t="n">
        <v>0</v>
      </c>
      <c r="O101" s="55" t="n">
        <v>1</v>
      </c>
      <c r="P101" s="55" t="n">
        <v>0</v>
      </c>
      <c r="Q101" s="55" t="n">
        <v>0</v>
      </c>
      <c r="R101" s="20" t="n">
        <f aca="false">Tableau2[[#This Row],[Nov 2023 (CUIE)]]+Tableau2[[#This Row],[ENE 2024 (Ener)]]+Tableau2[[#This Row],[May 2024 (CUIE)]]+Tableau2[[#This Row],[Nov 2024 (CUIE)]]+Tableau2[[#This Row],[Ene 2025 (CUIE)]]</f>
        <v>1</v>
      </c>
      <c r="S101" s="55" t="n">
        <v>1</v>
      </c>
      <c r="T101" s="55" t="n">
        <v>1</v>
      </c>
      <c r="U101" s="55" t="n">
        <v>0</v>
      </c>
      <c r="V101" s="55"/>
      <c r="W101" s="55"/>
      <c r="X101" s="23" t="s">
        <v>104</v>
      </c>
      <c r="Y101" s="47" t="n">
        <v>0</v>
      </c>
      <c r="Z101" s="10"/>
      <c r="AA101" s="20"/>
      <c r="AB101" s="10"/>
      <c r="AC101" s="10" t="n">
        <v>0</v>
      </c>
      <c r="AD101" s="54"/>
      <c r="AE101" s="54" t="n">
        <v>0</v>
      </c>
    </row>
    <row r="102" customFormat="false" ht="15" hidden="false" customHeight="false" outlineLevel="0" collapsed="false">
      <c r="A102" s="58"/>
      <c r="B102" s="59"/>
      <c r="C102" s="59"/>
      <c r="D102" s="59"/>
      <c r="E102" s="59"/>
      <c r="F102" s="60"/>
      <c r="G102" s="59"/>
      <c r="H102" s="61"/>
      <c r="I102" s="61"/>
      <c r="J102" s="59"/>
      <c r="K102" s="59"/>
      <c r="L102" s="59"/>
      <c r="M102" s="60" t="n">
        <f aca="false">SUM(Tableau2[Nov 2023 (CUIE)])</f>
        <v>16</v>
      </c>
      <c r="N102" s="60" t="n">
        <f aca="false">SUM(Tableau2[ENE 2024 (Ener)])</f>
        <v>57</v>
      </c>
      <c r="O102" s="59" t="n">
        <f aca="false">SUM(Tableau2[May 2024 (CUIE)])</f>
        <v>44</v>
      </c>
      <c r="P102" s="59" t="n">
        <f aca="false">SUM(Tableau2[Nov 2024 (CUIE)])</f>
        <v>25</v>
      </c>
      <c r="Q102" s="60" t="n">
        <f aca="false">SUM(Tableau2[ENE 2024 (Ener)])</f>
        <v>57</v>
      </c>
      <c r="R102" s="59" t="n">
        <f aca="false">SUM(Tableau2['# VISITAS CUIE])</f>
        <v>162</v>
      </c>
      <c r="S102" s="59" t="n">
        <f aca="false">SUM(Tableau2[Encuesta socio-demográfica])</f>
        <v>100</v>
      </c>
      <c r="T102" s="59" t="n">
        <f aca="false">SUM(Tableau2[Encuesta uso])</f>
        <v>60</v>
      </c>
      <c r="U102" s="59" t="n">
        <f aca="false">SUM(Tableau2[Entrevista])</f>
        <v>22</v>
      </c>
      <c r="V102" s="59"/>
      <c r="W102" s="59"/>
      <c r="X102" s="62"/>
      <c r="Y102" s="63"/>
      <c r="Z102" s="59"/>
      <c r="AA102" s="64"/>
      <c r="AB102" s="65"/>
      <c r="AC102" s="65"/>
      <c r="AD102" s="66"/>
      <c r="AE102" s="66"/>
    </row>
    <row r="106" customFormat="false" ht="15" hidden="false" customHeight="false" outlineLevel="0" collapsed="false">
      <c r="AA106" s="0" t="n">
        <v>86</v>
      </c>
      <c r="AB106" s="0" t="s">
        <v>368</v>
      </c>
    </row>
    <row r="107" customFormat="false" ht="15" hidden="false" customHeight="false" outlineLevel="0" collapsed="false">
      <c r="AA107" s="0" t="n">
        <v>61</v>
      </c>
      <c r="AB107" s="0" t="s">
        <v>369</v>
      </c>
    </row>
    <row r="108" customFormat="false" ht="15" hidden="false" customHeight="false" outlineLevel="0" collapsed="false">
      <c r="AA108" s="0" t="n">
        <v>11</v>
      </c>
      <c r="AB108" s="0" t="s">
        <v>370</v>
      </c>
    </row>
    <row r="109" customFormat="false" ht="15" hidden="false" customHeight="false" outlineLevel="0" collapsed="false">
      <c r="AA109" s="0" t="n">
        <v>8</v>
      </c>
      <c r="AB109" s="0" t="s">
        <v>371</v>
      </c>
    </row>
    <row r="110" customFormat="false" ht="15" hidden="false" customHeight="false" outlineLevel="0" collapsed="false">
      <c r="AA110" s="0" t="n">
        <v>34</v>
      </c>
      <c r="AB110" s="0" t="s">
        <v>372</v>
      </c>
    </row>
    <row r="111" customFormat="false" ht="15" hidden="false" customHeight="false" outlineLevel="0" collapsed="false">
      <c r="AA111" s="0" t="n">
        <v>1</v>
      </c>
      <c r="AB111" s="0" t="s">
        <v>373</v>
      </c>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I1" activeCellId="0" sqref="AI1"/>
    </sheetView>
  </sheetViews>
  <sheetFormatPr defaultColWidth="8.57421875" defaultRowHeight="14.25" zeroHeight="false" outlineLevelRow="0" outlineLevelCol="0"/>
  <cols>
    <col collapsed="false" customWidth="true" hidden="false" outlineLevel="0" max="3" min="3" style="0" width="13"/>
    <col collapsed="false" customWidth="true" hidden="false" outlineLevel="0" max="4" min="4" style="0" width="16.71"/>
    <col collapsed="false" customWidth="true" hidden="false" outlineLevel="0" max="8" min="8" style="0" width="9"/>
    <col collapsed="false" customWidth="true" hidden="false" outlineLevel="0" max="9" min="9" style="0" width="14.57"/>
    <col collapsed="false" customWidth="true" hidden="false" outlineLevel="0" max="18" min="18" style="0" width="25.72"/>
    <col collapsed="false" customWidth="true" hidden="false" outlineLevel="0" max="34" min="34" style="0" width="13.57"/>
    <col collapsed="false" customWidth="true" hidden="false" outlineLevel="0" max="36" min="36" style="0" width="16.14"/>
    <col collapsed="false" customWidth="false" hidden="false" outlineLevel="0" max="37" min="37" style="2" width="8.57"/>
    <col collapsed="false" customWidth="true" hidden="false" outlineLevel="0" max="39" min="38" style="0" width="11.71"/>
    <col collapsed="false" customWidth="true" hidden="false" outlineLevel="0" max="40" min="40" style="67" width="15.43"/>
    <col collapsed="false" customWidth="true" hidden="false" outlineLevel="0" max="41" min="41" style="67" width="14.43"/>
    <col collapsed="false" customWidth="true" hidden="false" outlineLevel="0" max="43" min="42" style="67" width="12.71"/>
    <col collapsed="false" customWidth="true" hidden="false" outlineLevel="0" max="44" min="44" style="0" width="17.14"/>
    <col collapsed="false" customWidth="true" hidden="false" outlineLevel="0" max="45" min="45" style="0" width="12.57"/>
  </cols>
  <sheetData>
    <row r="1" customFormat="false" ht="15" hidden="false" customHeight="false" outlineLevel="0" collapsed="false">
      <c r="A1" s="18" t="s">
        <v>374</v>
      </c>
      <c r="B1" s="18" t="s">
        <v>375</v>
      </c>
      <c r="C1" s="18" t="s">
        <v>1</v>
      </c>
      <c r="D1" s="18" t="s">
        <v>2</v>
      </c>
      <c r="E1" s="18" t="s">
        <v>376</v>
      </c>
      <c r="F1" s="18" t="s">
        <v>377</v>
      </c>
      <c r="G1" s="18" t="s">
        <v>378</v>
      </c>
      <c r="H1" s="18" t="s">
        <v>379</v>
      </c>
      <c r="I1" s="18" t="s">
        <v>3</v>
      </c>
      <c r="J1" s="18" t="s">
        <v>380</v>
      </c>
      <c r="K1" s="18" t="s">
        <v>381</v>
      </c>
      <c r="L1" s="18" t="s">
        <v>382</v>
      </c>
      <c r="M1" s="18" t="s">
        <v>383</v>
      </c>
      <c r="N1" s="18" t="s">
        <v>384</v>
      </c>
      <c r="O1" s="18" t="s">
        <v>385</v>
      </c>
      <c r="P1" s="18" t="s">
        <v>386</v>
      </c>
      <c r="Q1" s="18" t="s">
        <v>387</v>
      </c>
      <c r="R1" s="18" t="s">
        <v>5</v>
      </c>
      <c r="S1" s="18" t="s">
        <v>4</v>
      </c>
      <c r="T1" s="18" t="s">
        <v>388</v>
      </c>
      <c r="U1" s="18" t="s">
        <v>9</v>
      </c>
      <c r="V1" s="18" t="s">
        <v>389</v>
      </c>
      <c r="W1" s="18" t="s">
        <v>390</v>
      </c>
      <c r="X1" s="18" t="s">
        <v>391</v>
      </c>
      <c r="Y1" s="18" t="s">
        <v>392</v>
      </c>
      <c r="Z1" s="18" t="s">
        <v>393</v>
      </c>
      <c r="AA1" s="18" t="s">
        <v>394</v>
      </c>
      <c r="AB1" s="18" t="s">
        <v>395</v>
      </c>
      <c r="AC1" s="18" t="s">
        <v>396</v>
      </c>
      <c r="AD1" s="18" t="s">
        <v>397</v>
      </c>
      <c r="AE1" s="18" t="s">
        <v>398</v>
      </c>
      <c r="AF1" s="18" t="s">
        <v>399</v>
      </c>
      <c r="AG1" s="18" t="s">
        <v>400</v>
      </c>
      <c r="AH1" s="18" t="s">
        <v>401</v>
      </c>
      <c r="AI1" s="18" t="s">
        <v>0</v>
      </c>
      <c r="AJ1" s="68" t="s">
        <v>402</v>
      </c>
      <c r="AK1" s="69" t="s">
        <v>7</v>
      </c>
      <c r="AL1" s="18" t="s">
        <v>10</v>
      </c>
      <c r="AM1" s="18" t="s">
        <v>11</v>
      </c>
      <c r="AN1" s="70" t="s">
        <v>403</v>
      </c>
      <c r="AO1" s="70" t="s">
        <v>404</v>
      </c>
      <c r="AP1" s="70" t="s">
        <v>405</v>
      </c>
      <c r="AQ1" s="70" t="s">
        <v>406</v>
      </c>
      <c r="AR1" s="46" t="s">
        <v>407</v>
      </c>
      <c r="AS1" s="46" t="s">
        <v>408</v>
      </c>
    </row>
    <row r="2" customFormat="false" ht="15" hidden="false" customHeight="false" outlineLevel="0" collapsed="false">
      <c r="A2" s="0" t="n">
        <v>95</v>
      </c>
      <c r="B2" s="0" t="n">
        <v>44952</v>
      </c>
      <c r="C2" s="0" t="s">
        <v>31</v>
      </c>
      <c r="D2" s="0" t="s">
        <v>32</v>
      </c>
      <c r="E2" s="0" t="s">
        <v>409</v>
      </c>
      <c r="F2" s="0" t="n">
        <v>26</v>
      </c>
      <c r="G2" s="0" t="s">
        <v>410</v>
      </c>
      <c r="H2" s="0" t="n">
        <v>8856738</v>
      </c>
      <c r="I2" s="0" t="s">
        <v>33</v>
      </c>
      <c r="J2" s="0" t="n">
        <v>0</v>
      </c>
      <c r="K2" s="0" t="n">
        <v>1</v>
      </c>
      <c r="L2" s="0" t="n">
        <v>1</v>
      </c>
      <c r="M2" s="0" t="n">
        <v>2</v>
      </c>
      <c r="N2" s="0" t="n">
        <v>2</v>
      </c>
      <c r="O2" s="0" t="n">
        <v>1</v>
      </c>
      <c r="P2" s="0" t="n">
        <v>0</v>
      </c>
      <c r="Q2" s="0" t="s">
        <v>147</v>
      </c>
      <c r="R2" s="0" t="s">
        <v>34</v>
      </c>
      <c r="S2" s="0" t="n">
        <v>4</v>
      </c>
      <c r="T2" s="0" t="s">
        <v>411</v>
      </c>
      <c r="U2" s="0" t="n">
        <v>100</v>
      </c>
      <c r="V2" s="0" t="n">
        <v>2</v>
      </c>
      <c r="W2" s="0" t="s">
        <v>411</v>
      </c>
      <c r="X2" s="0" t="s">
        <v>276</v>
      </c>
      <c r="Y2" s="0" t="s">
        <v>412</v>
      </c>
      <c r="Z2" s="0" t="s">
        <v>413</v>
      </c>
      <c r="AA2" s="0" t="n">
        <v>32</v>
      </c>
      <c r="AB2" s="0" t="s">
        <v>414</v>
      </c>
      <c r="AC2" s="0" t="n">
        <v>0.833333333333333</v>
      </c>
      <c r="AD2" s="0" t="s">
        <v>415</v>
      </c>
      <c r="AE2" s="0" t="s">
        <v>416</v>
      </c>
      <c r="AF2" s="0" t="n">
        <v>0</v>
      </c>
      <c r="AG2" s="0" t="s">
        <v>417</v>
      </c>
      <c r="AH2" s="0" t="n">
        <v>7</v>
      </c>
      <c r="AI2" s="0" t="n">
        <v>90</v>
      </c>
      <c r="AL2" s="0" t="n">
        <v>-18.1389579</v>
      </c>
      <c r="AM2" s="0" t="n">
        <v>-65.5039357</v>
      </c>
      <c r="AN2" s="67" t="n">
        <v>201611010091</v>
      </c>
      <c r="AO2" s="67" t="n">
        <v>1072770618</v>
      </c>
      <c r="AP2" s="67" t="n">
        <v>837961</v>
      </c>
      <c r="AQ2" s="67" t="n">
        <v>8412417</v>
      </c>
      <c r="AR2" s="0" t="n">
        <v>0</v>
      </c>
    </row>
    <row r="3" customFormat="false" ht="15" hidden="false" customHeight="false" outlineLevel="0" collapsed="false">
      <c r="A3" s="0" t="n">
        <v>45</v>
      </c>
      <c r="B3" s="0" t="s">
        <v>418</v>
      </c>
      <c r="C3" s="0" t="s">
        <v>40</v>
      </c>
      <c r="D3" s="0" t="s">
        <v>41</v>
      </c>
      <c r="E3" s="0" t="s">
        <v>419</v>
      </c>
      <c r="F3" s="0" t="n">
        <v>27</v>
      </c>
      <c r="G3" s="0" t="s">
        <v>420</v>
      </c>
      <c r="H3" s="0" t="n">
        <v>8856973</v>
      </c>
      <c r="I3" s="0" t="s">
        <v>42</v>
      </c>
      <c r="J3" s="0" t="s">
        <v>43</v>
      </c>
      <c r="K3" s="0" t="s">
        <v>43</v>
      </c>
      <c r="L3" s="0" t="s">
        <v>43</v>
      </c>
      <c r="M3" s="0" t="s">
        <v>43</v>
      </c>
      <c r="N3" s="0" t="s">
        <v>43</v>
      </c>
      <c r="O3" s="0" t="s">
        <v>43</v>
      </c>
      <c r="P3" s="0" t="s">
        <v>43</v>
      </c>
      <c r="Q3" s="0" t="s">
        <v>43</v>
      </c>
      <c r="R3" s="0" t="s">
        <v>43</v>
      </c>
      <c r="S3" s="0" t="s">
        <v>43</v>
      </c>
      <c r="T3" s="0" t="s">
        <v>43</v>
      </c>
      <c r="U3" s="0" t="s">
        <v>43</v>
      </c>
      <c r="V3" s="0" t="s">
        <v>43</v>
      </c>
      <c r="W3" s="0" t="s">
        <v>43</v>
      </c>
      <c r="X3" s="0" t="s">
        <v>43</v>
      </c>
      <c r="Y3" s="0" t="s">
        <v>43</v>
      </c>
      <c r="Z3" s="0" t="s">
        <v>43</v>
      </c>
      <c r="AA3" s="0" t="s">
        <v>43</v>
      </c>
      <c r="AB3" s="0" t="s">
        <v>43</v>
      </c>
      <c r="AC3" s="0" t="s">
        <v>43</v>
      </c>
      <c r="AD3" s="0" t="s">
        <v>43</v>
      </c>
      <c r="AE3" s="0" t="s">
        <v>43</v>
      </c>
      <c r="AF3" s="0" t="s">
        <v>43</v>
      </c>
      <c r="AG3" s="0" t="s">
        <v>43</v>
      </c>
      <c r="AH3" s="0" t="s">
        <v>43</v>
      </c>
      <c r="AI3" s="0" t="n">
        <v>1</v>
      </c>
      <c r="AL3" s="0" t="n">
        <v>-18.1578506</v>
      </c>
      <c r="AM3" s="0" t="n">
        <v>-65.4542651</v>
      </c>
      <c r="AR3" s="0" t="n">
        <v>0</v>
      </c>
    </row>
    <row r="4" customFormat="false" ht="15" hidden="false" customHeight="false" outlineLevel="0" collapsed="false">
      <c r="A4" s="0" t="n">
        <v>2</v>
      </c>
      <c r="B4" s="0" t="n">
        <v>44952</v>
      </c>
      <c r="C4" s="0" t="s">
        <v>45</v>
      </c>
      <c r="D4" s="0" t="s">
        <v>46</v>
      </c>
      <c r="E4" s="0" t="s">
        <v>409</v>
      </c>
      <c r="F4" s="0" t="n">
        <v>76</v>
      </c>
      <c r="G4" s="0" t="s">
        <v>410</v>
      </c>
      <c r="H4" s="0" t="n">
        <v>3010438</v>
      </c>
      <c r="I4" s="0" t="s">
        <v>42</v>
      </c>
      <c r="J4" s="0" t="n">
        <v>0</v>
      </c>
      <c r="K4" s="0" t="n">
        <v>0</v>
      </c>
      <c r="L4" s="0" t="n">
        <v>2</v>
      </c>
      <c r="M4" s="0" t="n">
        <v>2</v>
      </c>
      <c r="N4" s="0" t="n">
        <v>1</v>
      </c>
      <c r="O4" s="0" t="n">
        <v>3</v>
      </c>
      <c r="P4" s="0" t="n">
        <v>0</v>
      </c>
      <c r="Q4" s="0" t="s">
        <v>412</v>
      </c>
      <c r="R4" s="0" t="s">
        <v>47</v>
      </c>
      <c r="S4" s="0" t="n">
        <v>4</v>
      </c>
      <c r="T4" s="0" t="s">
        <v>411</v>
      </c>
      <c r="U4" s="0" t="n">
        <v>0</v>
      </c>
      <c r="V4" s="0" t="n">
        <v>3</v>
      </c>
      <c r="W4" s="0" t="s">
        <v>411</v>
      </c>
      <c r="X4" s="0" t="s">
        <v>276</v>
      </c>
      <c r="Y4" s="0" t="s">
        <v>412</v>
      </c>
      <c r="Z4" s="0" t="s">
        <v>421</v>
      </c>
      <c r="AA4" s="0" t="n">
        <v>72</v>
      </c>
      <c r="AB4" s="0" t="s">
        <v>414</v>
      </c>
      <c r="AC4" s="0" t="n">
        <v>0.916666666666667</v>
      </c>
      <c r="AD4" s="0" t="s">
        <v>187</v>
      </c>
      <c r="AE4" s="0" t="s">
        <v>416</v>
      </c>
      <c r="AF4" s="0" t="n">
        <v>0</v>
      </c>
      <c r="AG4" s="0" t="s">
        <v>422</v>
      </c>
      <c r="AH4" s="0" t="n">
        <v>0</v>
      </c>
      <c r="AI4" s="0" t="n">
        <v>2</v>
      </c>
      <c r="AL4" s="0" t="n">
        <v>-18.1553154</v>
      </c>
      <c r="AM4" s="0" t="n">
        <v>-65.4618266</v>
      </c>
      <c r="AR4" s="0" t="n">
        <v>0</v>
      </c>
    </row>
    <row r="5" customFormat="false" ht="15" hidden="false" customHeight="false" outlineLevel="0" collapsed="false">
      <c r="A5" s="0" t="n">
        <v>85</v>
      </c>
      <c r="B5" s="0" t="n">
        <v>44951</v>
      </c>
      <c r="C5" s="0" t="s">
        <v>49</v>
      </c>
      <c r="D5" s="0" t="s">
        <v>50</v>
      </c>
      <c r="E5" s="0" t="s">
        <v>409</v>
      </c>
      <c r="F5" s="0" t="n">
        <v>27</v>
      </c>
      <c r="G5" s="0" t="s">
        <v>410</v>
      </c>
      <c r="H5" s="0" t="n">
        <v>8750608</v>
      </c>
      <c r="I5" s="0" t="s">
        <v>51</v>
      </c>
      <c r="J5" s="0" t="n">
        <v>1</v>
      </c>
      <c r="K5" s="0" t="n">
        <v>1</v>
      </c>
      <c r="L5" s="0" t="n">
        <v>0</v>
      </c>
      <c r="M5" s="0" t="n">
        <v>1</v>
      </c>
      <c r="N5" s="0" t="n">
        <v>0</v>
      </c>
      <c r="O5" s="0" t="n">
        <v>1</v>
      </c>
      <c r="P5" s="0" t="n">
        <v>0</v>
      </c>
      <c r="Q5" s="0" t="s">
        <v>412</v>
      </c>
      <c r="R5" s="0" t="s">
        <v>52</v>
      </c>
      <c r="S5" s="0" t="n">
        <v>3</v>
      </c>
      <c r="T5" s="0" t="s">
        <v>411</v>
      </c>
      <c r="U5" s="0" t="n">
        <v>1100</v>
      </c>
      <c r="V5" s="0" t="n">
        <v>2</v>
      </c>
      <c r="W5" s="0" t="s">
        <v>423</v>
      </c>
      <c r="X5" s="0" t="s">
        <v>424</v>
      </c>
      <c r="Y5" s="0" t="s">
        <v>412</v>
      </c>
      <c r="Z5" s="0" t="s">
        <v>425</v>
      </c>
      <c r="AA5" s="0" t="n">
        <v>68</v>
      </c>
      <c r="AB5" s="0" t="s">
        <v>426</v>
      </c>
      <c r="AC5" s="0" t="n">
        <v>0.916666666666667</v>
      </c>
      <c r="AD5" s="0" t="s">
        <v>427</v>
      </c>
      <c r="AE5" s="0" t="s">
        <v>416</v>
      </c>
      <c r="AF5" s="0" t="n">
        <v>0</v>
      </c>
      <c r="AG5" s="0" t="s">
        <v>428</v>
      </c>
      <c r="AH5" s="0" t="n">
        <v>7</v>
      </c>
      <c r="AI5" s="0" t="n">
        <v>58</v>
      </c>
      <c r="AJ5" s="0" t="n">
        <v>0</v>
      </c>
      <c r="AK5" s="2" t="n">
        <v>0</v>
      </c>
      <c r="AL5" s="0" t="n">
        <v>-18.2414639</v>
      </c>
      <c r="AM5" s="0" t="n">
        <v>-65.3409812</v>
      </c>
      <c r="AN5" s="67" t="n">
        <v>201611010471</v>
      </c>
      <c r="AO5" s="67" t="n">
        <v>1072771689</v>
      </c>
      <c r="AP5" s="67" t="n">
        <v>837973</v>
      </c>
      <c r="AQ5" s="67" t="n">
        <v>8412443</v>
      </c>
      <c r="AR5" s="0" t="n">
        <v>0</v>
      </c>
    </row>
    <row r="6" customFormat="false" ht="14.25" hidden="false" customHeight="true" outlineLevel="0" collapsed="false">
      <c r="A6" s="0" t="n">
        <v>52</v>
      </c>
      <c r="B6" s="0" t="n">
        <v>44952</v>
      </c>
      <c r="C6" s="0" t="s">
        <v>57</v>
      </c>
      <c r="D6" s="0" t="s">
        <v>58</v>
      </c>
      <c r="E6" s="0" t="s">
        <v>409</v>
      </c>
      <c r="F6" s="0" t="n">
        <v>47</v>
      </c>
      <c r="G6" s="0" t="s">
        <v>410</v>
      </c>
      <c r="H6" s="0" t="n">
        <v>5912697</v>
      </c>
      <c r="I6" s="0" t="s">
        <v>59</v>
      </c>
      <c r="J6" s="0" t="n">
        <v>0</v>
      </c>
      <c r="K6" s="0" t="n">
        <v>5</v>
      </c>
      <c r="L6" s="0" t="n">
        <v>4</v>
      </c>
      <c r="M6" s="0" t="n">
        <v>0</v>
      </c>
      <c r="N6" s="0" t="n">
        <v>2</v>
      </c>
      <c r="O6" s="0" t="n">
        <v>2</v>
      </c>
      <c r="P6" s="0" t="n">
        <v>0</v>
      </c>
      <c r="Q6" s="0" t="s">
        <v>147</v>
      </c>
      <c r="R6" s="0" t="s">
        <v>60</v>
      </c>
      <c r="S6" s="0" t="n">
        <v>9</v>
      </c>
      <c r="T6" s="0" t="s">
        <v>411</v>
      </c>
      <c r="U6" s="0" t="n">
        <v>300</v>
      </c>
      <c r="V6" s="0" t="n">
        <v>4</v>
      </c>
      <c r="W6" s="0" t="s">
        <v>423</v>
      </c>
      <c r="X6" s="0" t="s">
        <v>429</v>
      </c>
      <c r="Y6" s="0" t="s">
        <v>412</v>
      </c>
      <c r="Z6" s="0" t="s">
        <v>430</v>
      </c>
      <c r="AA6" s="0" t="n">
        <v>54</v>
      </c>
      <c r="AB6" s="0" t="s">
        <v>414</v>
      </c>
      <c r="AC6" s="0" t="n">
        <v>0.916666666666667</v>
      </c>
      <c r="AD6" s="0" t="s">
        <v>431</v>
      </c>
      <c r="AE6" s="0" t="s">
        <v>432</v>
      </c>
      <c r="AF6" s="0" t="n">
        <v>0</v>
      </c>
      <c r="AG6" s="0" t="s">
        <v>428</v>
      </c>
      <c r="AH6" s="0" t="n">
        <v>7</v>
      </c>
      <c r="AI6" s="0" t="n">
        <v>46</v>
      </c>
      <c r="AJ6" s="0" t="n">
        <v>1</v>
      </c>
      <c r="AK6" s="2" t="s">
        <v>62</v>
      </c>
      <c r="AL6" s="0" t="n">
        <v>-18.1367774</v>
      </c>
      <c r="AM6" s="0" t="n">
        <v>-65.4638351</v>
      </c>
      <c r="AN6" s="67" t="n">
        <v>201611011933</v>
      </c>
      <c r="AO6" s="67" t="n">
        <v>1072771701</v>
      </c>
      <c r="AP6" s="67" t="n">
        <v>8372393</v>
      </c>
      <c r="AQ6" s="67" t="n">
        <v>8414298</v>
      </c>
      <c r="AR6" s="0" t="n">
        <v>1</v>
      </c>
    </row>
    <row r="7" customFormat="false" ht="15" hidden="false" customHeight="false" outlineLevel="0" collapsed="false">
      <c r="A7" s="0" t="n">
        <v>7</v>
      </c>
      <c r="B7" s="0" t="n">
        <v>44952</v>
      </c>
      <c r="C7" s="0" t="s">
        <v>63</v>
      </c>
      <c r="D7" s="0" t="s">
        <v>64</v>
      </c>
      <c r="E7" s="0" t="s">
        <v>409</v>
      </c>
      <c r="F7" s="0" t="n">
        <v>25</v>
      </c>
      <c r="G7" s="0" t="s">
        <v>410</v>
      </c>
      <c r="H7" s="0" t="n">
        <v>8856451</v>
      </c>
      <c r="I7" s="0" t="s">
        <v>42</v>
      </c>
      <c r="J7" s="0" t="n">
        <v>2</v>
      </c>
      <c r="K7" s="0" t="n">
        <v>0</v>
      </c>
      <c r="L7" s="0" t="n">
        <v>2</v>
      </c>
      <c r="M7" s="0" t="n">
        <v>0</v>
      </c>
      <c r="N7" s="0" t="n">
        <v>1</v>
      </c>
      <c r="O7" s="0" t="n">
        <v>1</v>
      </c>
      <c r="P7" s="0" t="n">
        <v>0</v>
      </c>
      <c r="Q7" s="0" t="s">
        <v>412</v>
      </c>
      <c r="R7" s="0" t="s">
        <v>65</v>
      </c>
      <c r="S7" s="0" t="n">
        <v>4</v>
      </c>
      <c r="T7" s="0" t="s">
        <v>411</v>
      </c>
      <c r="U7" s="0" t="n">
        <v>100</v>
      </c>
      <c r="V7" s="0" t="n">
        <v>3</v>
      </c>
      <c r="W7" s="0" t="s">
        <v>423</v>
      </c>
      <c r="X7" s="0" t="s">
        <v>424</v>
      </c>
      <c r="Y7" s="0" t="s">
        <v>412</v>
      </c>
      <c r="Z7" s="0" t="s">
        <v>413</v>
      </c>
      <c r="AA7" s="0" t="n">
        <v>32</v>
      </c>
      <c r="AB7" s="0" t="s">
        <v>426</v>
      </c>
      <c r="AC7" s="0" t="n">
        <v>0.833333333333333</v>
      </c>
      <c r="AD7" s="0" t="s">
        <v>431</v>
      </c>
      <c r="AE7" s="0" t="s">
        <v>416</v>
      </c>
      <c r="AF7" s="0" t="n">
        <v>0</v>
      </c>
      <c r="AG7" s="0" t="s">
        <v>417</v>
      </c>
      <c r="AH7" s="0" t="n">
        <v>7</v>
      </c>
      <c r="AI7" s="0" t="n">
        <v>3</v>
      </c>
      <c r="AL7" s="0" t="n">
        <v>-18.1826336</v>
      </c>
      <c r="AM7" s="0" t="n">
        <v>-65.4672529</v>
      </c>
      <c r="AR7" s="0" t="n">
        <v>1</v>
      </c>
    </row>
    <row r="8" customFormat="false" ht="15" hidden="false" customHeight="false" outlineLevel="0" collapsed="false">
      <c r="A8" s="0" t="n">
        <v>76</v>
      </c>
      <c r="B8" s="0" t="n">
        <v>44951</v>
      </c>
      <c r="C8" s="0" t="s">
        <v>66</v>
      </c>
      <c r="D8" s="0" t="s">
        <v>67</v>
      </c>
      <c r="E8" s="0" t="s">
        <v>419</v>
      </c>
      <c r="F8" s="0" t="n">
        <v>44</v>
      </c>
      <c r="G8" s="0" t="s">
        <v>420</v>
      </c>
      <c r="H8" s="0" t="n">
        <v>14190592</v>
      </c>
      <c r="I8" s="0" t="s">
        <v>51</v>
      </c>
      <c r="J8" s="0" t="n">
        <v>2</v>
      </c>
      <c r="K8" s="0" t="n">
        <v>5</v>
      </c>
      <c r="L8" s="0" t="n">
        <v>5</v>
      </c>
      <c r="M8" s="0" t="n">
        <v>0</v>
      </c>
      <c r="N8" s="0" t="n">
        <v>1</v>
      </c>
      <c r="O8" s="0" t="n">
        <v>4</v>
      </c>
      <c r="P8" s="0" t="n">
        <v>0</v>
      </c>
      <c r="Q8" s="0" t="s">
        <v>147</v>
      </c>
      <c r="R8" s="0" t="s">
        <v>60</v>
      </c>
      <c r="S8" s="0" t="n">
        <v>12</v>
      </c>
      <c r="T8" s="0" t="s">
        <v>423</v>
      </c>
      <c r="U8" s="0" t="n">
        <v>300</v>
      </c>
      <c r="V8" s="0" t="n">
        <v>4</v>
      </c>
      <c r="W8" s="0" t="s">
        <v>423</v>
      </c>
      <c r="X8" s="0" t="s">
        <v>429</v>
      </c>
      <c r="Y8" s="0" t="s">
        <v>412</v>
      </c>
      <c r="Z8" s="0" t="s">
        <v>430</v>
      </c>
      <c r="AA8" s="0" t="n">
        <v>112</v>
      </c>
      <c r="AB8" s="0" t="s">
        <v>426</v>
      </c>
      <c r="AC8" s="0" t="n">
        <v>1.83333333333333</v>
      </c>
      <c r="AD8" s="0" t="s">
        <v>39</v>
      </c>
      <c r="AE8" s="0" t="s">
        <v>416</v>
      </c>
      <c r="AF8" s="0" t="n">
        <v>0</v>
      </c>
      <c r="AG8" s="0" t="s">
        <v>428</v>
      </c>
      <c r="AH8" s="0" t="n">
        <v>7</v>
      </c>
      <c r="AI8" s="0" t="n">
        <v>59</v>
      </c>
      <c r="AL8" s="0" t="n">
        <v>-18.2459715</v>
      </c>
      <c r="AM8" s="0" t="n">
        <v>-65.355226</v>
      </c>
      <c r="AN8" s="67" t="n">
        <v>201611010036</v>
      </c>
      <c r="AO8" s="67" t="n">
        <v>1072770619</v>
      </c>
      <c r="AP8" s="67" t="n">
        <v>837997</v>
      </c>
      <c r="AQ8" s="67" t="n">
        <v>8412433</v>
      </c>
      <c r="AR8" s="0" t="n">
        <v>0</v>
      </c>
    </row>
    <row r="9" customFormat="false" ht="15" hidden="false" customHeight="false" outlineLevel="0" collapsed="false">
      <c r="A9" s="0" t="n">
        <v>15</v>
      </c>
      <c r="B9" s="0" t="n">
        <v>44952</v>
      </c>
      <c r="C9" s="0" t="s">
        <v>68</v>
      </c>
      <c r="D9" s="0" t="s">
        <v>75</v>
      </c>
      <c r="E9" s="0" t="s">
        <v>409</v>
      </c>
      <c r="F9" s="0" t="n">
        <v>41</v>
      </c>
      <c r="G9" s="0" t="s">
        <v>410</v>
      </c>
      <c r="H9" s="0" t="n">
        <v>8856308</v>
      </c>
      <c r="I9" s="0" t="s">
        <v>42</v>
      </c>
      <c r="J9" s="0" t="n">
        <v>2</v>
      </c>
      <c r="K9" s="0" t="n">
        <v>4</v>
      </c>
      <c r="L9" s="0" t="n">
        <v>2</v>
      </c>
      <c r="M9" s="0" t="n">
        <v>0</v>
      </c>
      <c r="N9" s="0" t="n">
        <v>2</v>
      </c>
      <c r="O9" s="0" t="n">
        <v>0</v>
      </c>
      <c r="P9" s="0" t="n">
        <v>0</v>
      </c>
      <c r="Q9" s="0" t="s">
        <v>147</v>
      </c>
      <c r="R9" s="0" t="s">
        <v>76</v>
      </c>
      <c r="S9" s="0" t="n">
        <v>8</v>
      </c>
      <c r="T9" s="0" t="s">
        <v>411</v>
      </c>
      <c r="U9" s="0" t="n">
        <v>200</v>
      </c>
      <c r="V9" s="0" t="n">
        <v>6</v>
      </c>
      <c r="W9" s="0" t="s">
        <v>411</v>
      </c>
      <c r="X9" s="0" t="s">
        <v>276</v>
      </c>
      <c r="Y9" s="0" t="s">
        <v>412</v>
      </c>
      <c r="Z9" s="0" t="s">
        <v>413</v>
      </c>
      <c r="AA9" s="0" t="n">
        <v>24</v>
      </c>
      <c r="AB9" s="0" t="s">
        <v>414</v>
      </c>
      <c r="AC9" s="0" t="n">
        <v>0.916666666666667</v>
      </c>
      <c r="AD9" s="0" t="s">
        <v>431</v>
      </c>
      <c r="AE9" s="0" t="s">
        <v>416</v>
      </c>
      <c r="AF9" s="0" t="n">
        <v>0</v>
      </c>
      <c r="AG9" s="0" t="s">
        <v>428</v>
      </c>
      <c r="AH9" s="0" t="n">
        <v>7</v>
      </c>
      <c r="AI9" s="0" t="n">
        <v>5</v>
      </c>
      <c r="AL9" s="0" t="n">
        <v>-18.1479749</v>
      </c>
      <c r="AM9" s="0" t="n">
        <v>-65.4836166</v>
      </c>
      <c r="AR9" s="0" t="n">
        <v>0</v>
      </c>
    </row>
    <row r="10" customFormat="false" ht="15" hidden="false" customHeight="false" outlineLevel="0" collapsed="false">
      <c r="A10" s="0" t="n">
        <v>33</v>
      </c>
      <c r="B10" s="0" t="n">
        <v>44952</v>
      </c>
      <c r="C10" s="0" t="s">
        <v>68</v>
      </c>
      <c r="D10" s="0" t="s">
        <v>69</v>
      </c>
      <c r="E10" s="0" t="s">
        <v>409</v>
      </c>
      <c r="F10" s="0" t="n">
        <v>77</v>
      </c>
      <c r="G10" s="0" t="s">
        <v>410</v>
      </c>
      <c r="H10" s="0" t="n">
        <v>913089</v>
      </c>
      <c r="I10" s="0" t="s">
        <v>42</v>
      </c>
      <c r="J10" s="0" t="n">
        <v>0</v>
      </c>
      <c r="K10" s="0" t="n">
        <v>0</v>
      </c>
      <c r="L10" s="0" t="n">
        <v>4</v>
      </c>
      <c r="M10" s="0" t="n">
        <v>2</v>
      </c>
      <c r="N10" s="0" t="n">
        <v>3</v>
      </c>
      <c r="O10" s="0" t="n">
        <v>3</v>
      </c>
      <c r="P10" s="0" t="n">
        <v>0</v>
      </c>
      <c r="Q10" s="0" t="s">
        <v>412</v>
      </c>
      <c r="R10" s="0" t="s">
        <v>47</v>
      </c>
      <c r="S10" s="0" t="n">
        <v>6</v>
      </c>
      <c r="T10" s="0" t="s">
        <v>411</v>
      </c>
      <c r="U10" s="0" t="n">
        <v>300</v>
      </c>
      <c r="V10" s="0" t="n">
        <v>4</v>
      </c>
      <c r="W10" s="0" t="s">
        <v>423</v>
      </c>
      <c r="X10" s="0" t="s">
        <v>424</v>
      </c>
      <c r="Y10" s="0" t="s">
        <v>412</v>
      </c>
      <c r="Z10" s="0" t="s">
        <v>430</v>
      </c>
      <c r="AA10" s="0" t="n">
        <v>190</v>
      </c>
      <c r="AB10" s="0" t="s">
        <v>426</v>
      </c>
      <c r="AC10" s="0" t="n">
        <v>0.916666666666667</v>
      </c>
      <c r="AD10" s="0" t="s">
        <v>431</v>
      </c>
      <c r="AE10" s="0" t="s">
        <v>433</v>
      </c>
      <c r="AF10" s="0" t="n">
        <v>70</v>
      </c>
      <c r="AG10" s="0" t="s">
        <v>434</v>
      </c>
      <c r="AH10" s="0" t="n">
        <v>7</v>
      </c>
      <c r="AI10" s="0" t="n">
        <v>4</v>
      </c>
      <c r="AJ10" s="0" t="n">
        <v>0</v>
      </c>
      <c r="AK10" s="2" t="n">
        <v>0</v>
      </c>
      <c r="AL10" s="0" t="n">
        <v>-18.1495775</v>
      </c>
      <c r="AM10" s="0" t="n">
        <v>-65.4745865</v>
      </c>
      <c r="AR10" s="0" t="n">
        <v>0</v>
      </c>
    </row>
    <row r="11" customFormat="false" ht="15" hidden="false" customHeight="false" outlineLevel="0" collapsed="false">
      <c r="A11" s="0" t="n">
        <v>88</v>
      </c>
      <c r="B11" s="0" t="n">
        <v>44951</v>
      </c>
      <c r="C11" s="0" t="s">
        <v>77</v>
      </c>
      <c r="D11" s="0" t="s">
        <v>78</v>
      </c>
      <c r="E11" s="0" t="s">
        <v>419</v>
      </c>
      <c r="F11" s="0" t="n">
        <v>32</v>
      </c>
      <c r="G11" s="0" t="s">
        <v>420</v>
      </c>
      <c r="H11" s="0" t="n">
        <v>13425797</v>
      </c>
      <c r="I11" s="0" t="s">
        <v>79</v>
      </c>
      <c r="J11" s="0" t="n">
        <v>2</v>
      </c>
      <c r="K11" s="0" t="n">
        <v>2</v>
      </c>
      <c r="L11" s="0" t="n">
        <v>2</v>
      </c>
      <c r="M11" s="0" t="n">
        <v>0</v>
      </c>
      <c r="N11" s="0" t="n">
        <v>1</v>
      </c>
      <c r="O11" s="0" t="n">
        <v>1</v>
      </c>
      <c r="P11" s="0" t="n">
        <v>0</v>
      </c>
      <c r="Q11" s="0" t="s">
        <v>147</v>
      </c>
      <c r="R11" s="0" t="s">
        <v>76</v>
      </c>
      <c r="S11" s="0" t="n">
        <v>6</v>
      </c>
      <c r="T11" s="0" t="s">
        <v>411</v>
      </c>
      <c r="U11" s="0" t="n">
        <v>0</v>
      </c>
      <c r="V11" s="0" t="n">
        <v>5</v>
      </c>
      <c r="W11" s="0" t="s">
        <v>411</v>
      </c>
      <c r="X11" s="0" t="s">
        <v>276</v>
      </c>
      <c r="Y11" s="0" t="s">
        <v>147</v>
      </c>
      <c r="Z11" s="0" t="s">
        <v>435</v>
      </c>
      <c r="AA11" s="0" t="n">
        <v>80</v>
      </c>
      <c r="AB11" s="0" t="s">
        <v>426</v>
      </c>
      <c r="AC11" s="0" t="n">
        <v>0.916666666666667</v>
      </c>
      <c r="AD11" s="0" t="s">
        <v>39</v>
      </c>
      <c r="AE11" s="0" t="s">
        <v>433</v>
      </c>
      <c r="AF11" s="0" t="n">
        <v>35</v>
      </c>
      <c r="AG11" s="0" t="s">
        <v>417</v>
      </c>
      <c r="AH11" s="0" t="n">
        <v>14</v>
      </c>
      <c r="AI11" s="0" t="n">
        <v>60</v>
      </c>
      <c r="AL11" s="0" t="n">
        <v>-18.2414868</v>
      </c>
      <c r="AM11" s="0" t="n">
        <v>-65.3330678</v>
      </c>
      <c r="AN11" s="67" t="n">
        <v>201611011943</v>
      </c>
      <c r="AO11" s="67" t="n">
        <v>1072771685</v>
      </c>
      <c r="AP11" s="67" t="n">
        <v>837974</v>
      </c>
      <c r="AQ11" s="67" t="n">
        <v>8412416</v>
      </c>
      <c r="AR11" s="0" t="n">
        <v>0</v>
      </c>
    </row>
    <row r="12" customFormat="false" ht="15" hidden="false" customHeight="false" outlineLevel="0" collapsed="false">
      <c r="A12" s="0" t="n">
        <v>9</v>
      </c>
      <c r="B12" s="0" t="n">
        <v>44952</v>
      </c>
      <c r="C12" s="0" t="s">
        <v>81</v>
      </c>
      <c r="D12" s="0" t="s">
        <v>82</v>
      </c>
      <c r="E12" s="0" t="s">
        <v>409</v>
      </c>
      <c r="F12" s="0" t="n">
        <v>35</v>
      </c>
      <c r="G12" s="0" t="s">
        <v>436</v>
      </c>
      <c r="H12" s="0" t="n">
        <v>8837012</v>
      </c>
      <c r="I12" s="0" t="s">
        <v>42</v>
      </c>
      <c r="J12" s="0" t="n">
        <v>1</v>
      </c>
      <c r="K12" s="0" t="n">
        <v>4</v>
      </c>
      <c r="L12" s="0" t="n">
        <v>2</v>
      </c>
      <c r="M12" s="0" t="n">
        <v>0</v>
      </c>
      <c r="N12" s="0" t="n">
        <v>1</v>
      </c>
      <c r="O12" s="0" t="n">
        <v>1</v>
      </c>
      <c r="P12" s="0" t="n">
        <v>0</v>
      </c>
      <c r="Q12" s="0" t="s">
        <v>147</v>
      </c>
      <c r="R12" s="0" t="s">
        <v>76</v>
      </c>
      <c r="S12" s="0" t="n">
        <v>7</v>
      </c>
      <c r="T12" s="0" t="s">
        <v>411</v>
      </c>
      <c r="U12" s="0" t="n">
        <v>100</v>
      </c>
      <c r="V12" s="0" t="n">
        <v>2</v>
      </c>
      <c r="W12" s="0" t="s">
        <v>423</v>
      </c>
      <c r="X12" s="0" t="s">
        <v>424</v>
      </c>
      <c r="Y12" s="0" t="s">
        <v>412</v>
      </c>
      <c r="Z12" s="0" t="s">
        <v>430</v>
      </c>
      <c r="AA12" s="0" t="n">
        <v>45</v>
      </c>
      <c r="AB12" s="0" t="s">
        <v>437</v>
      </c>
      <c r="AC12" s="0" t="n">
        <v>0.875</v>
      </c>
      <c r="AD12" s="0" t="s">
        <v>431</v>
      </c>
      <c r="AE12" s="0" t="s">
        <v>433</v>
      </c>
      <c r="AF12" s="0" t="n">
        <v>35</v>
      </c>
      <c r="AG12" s="0" t="s">
        <v>417</v>
      </c>
      <c r="AH12" s="0" t="n">
        <v>1</v>
      </c>
      <c r="AI12" s="0" t="n">
        <v>6</v>
      </c>
      <c r="AJ12" s="0" t="n">
        <v>0</v>
      </c>
      <c r="AK12" s="2" t="n">
        <v>0</v>
      </c>
      <c r="AL12" s="0" t="n">
        <v>-18.1551753</v>
      </c>
      <c r="AM12" s="0" t="n">
        <v>-65.4547028</v>
      </c>
      <c r="AR12" s="0" t="n">
        <v>0</v>
      </c>
    </row>
    <row r="13" customFormat="false" ht="15" hidden="false" customHeight="false" outlineLevel="0" collapsed="false">
      <c r="A13" s="0" t="n">
        <v>30</v>
      </c>
      <c r="B13" s="0" t="n">
        <v>44952</v>
      </c>
      <c r="C13" s="0" t="s">
        <v>86</v>
      </c>
      <c r="D13" s="0" t="s">
        <v>87</v>
      </c>
      <c r="E13" s="0" t="s">
        <v>419</v>
      </c>
      <c r="F13" s="0" t="n">
        <v>70</v>
      </c>
      <c r="G13" s="0" t="s">
        <v>420</v>
      </c>
      <c r="H13" s="0" t="n">
        <v>934513</v>
      </c>
      <c r="I13" s="0" t="s">
        <v>42</v>
      </c>
      <c r="J13" s="0" t="n">
        <v>0</v>
      </c>
      <c r="K13" s="0" t="n">
        <v>2</v>
      </c>
      <c r="L13" s="0" t="n">
        <v>3</v>
      </c>
      <c r="M13" s="0" t="n">
        <v>1</v>
      </c>
      <c r="N13" s="0" t="n">
        <v>3</v>
      </c>
      <c r="O13" s="0" t="n">
        <v>1</v>
      </c>
      <c r="P13" s="0" t="n">
        <v>0</v>
      </c>
      <c r="Q13" s="0" t="s">
        <v>147</v>
      </c>
      <c r="R13" s="0" t="s">
        <v>34</v>
      </c>
      <c r="S13" s="0" t="n">
        <v>6</v>
      </c>
      <c r="T13" s="0" t="s">
        <v>411</v>
      </c>
      <c r="U13" s="0" t="n">
        <v>300</v>
      </c>
      <c r="V13" s="0" t="n">
        <v>3</v>
      </c>
      <c r="W13" s="0" t="s">
        <v>411</v>
      </c>
      <c r="X13" s="0" t="s">
        <v>276</v>
      </c>
      <c r="Y13" s="0" t="s">
        <v>412</v>
      </c>
      <c r="Z13" s="0" t="s">
        <v>430</v>
      </c>
      <c r="AA13" s="0" t="n">
        <v>44</v>
      </c>
      <c r="AB13" s="0" t="s">
        <v>426</v>
      </c>
      <c r="AC13" s="0" t="n">
        <v>0.875</v>
      </c>
      <c r="AD13" s="0" t="s">
        <v>431</v>
      </c>
      <c r="AE13" s="0" t="s">
        <v>416</v>
      </c>
      <c r="AF13" s="0" t="n">
        <v>0</v>
      </c>
      <c r="AG13" s="0" t="s">
        <v>417</v>
      </c>
      <c r="AH13" s="0" t="n">
        <v>7</v>
      </c>
      <c r="AI13" s="0" t="n">
        <v>7</v>
      </c>
      <c r="AL13" s="0" t="n">
        <v>-18.1664275</v>
      </c>
      <c r="AM13" s="0" t="n">
        <v>-65.4679999</v>
      </c>
      <c r="AR13" s="0" t="n">
        <v>0</v>
      </c>
    </row>
    <row r="14" customFormat="false" ht="15" hidden="false" customHeight="false" outlineLevel="0" collapsed="false">
      <c r="A14" s="0" t="n">
        <v>57</v>
      </c>
      <c r="B14" s="0" t="n">
        <v>44952</v>
      </c>
      <c r="C14" s="0" t="s">
        <v>90</v>
      </c>
      <c r="D14" s="0" t="s">
        <v>91</v>
      </c>
      <c r="E14" s="0" t="s">
        <v>409</v>
      </c>
      <c r="F14" s="0" t="n">
        <v>36</v>
      </c>
      <c r="G14" s="0" t="s">
        <v>438</v>
      </c>
      <c r="H14" s="0" t="n">
        <v>8856302</v>
      </c>
      <c r="I14" s="0" t="s">
        <v>92</v>
      </c>
      <c r="J14" s="0" t="n">
        <v>0</v>
      </c>
      <c r="K14" s="0" t="n">
        <v>0</v>
      </c>
      <c r="L14" s="0" t="n">
        <v>1</v>
      </c>
      <c r="M14" s="0" t="n">
        <v>0</v>
      </c>
      <c r="N14" s="0" t="n">
        <v>1</v>
      </c>
      <c r="O14" s="0" t="n">
        <v>0</v>
      </c>
      <c r="P14" s="0" t="n">
        <v>0</v>
      </c>
      <c r="Q14" s="0" t="s">
        <v>412</v>
      </c>
      <c r="R14" s="0" t="s">
        <v>93</v>
      </c>
      <c r="S14" s="0" t="n">
        <v>1</v>
      </c>
      <c r="T14" s="0" t="s">
        <v>411</v>
      </c>
      <c r="U14" s="0" t="n">
        <v>500</v>
      </c>
      <c r="V14" s="0" t="n">
        <v>2</v>
      </c>
      <c r="W14" s="0" t="s">
        <v>423</v>
      </c>
      <c r="X14" s="0" t="s">
        <v>439</v>
      </c>
      <c r="Y14" s="0" t="s">
        <v>412</v>
      </c>
      <c r="Z14" s="0" t="s">
        <v>430</v>
      </c>
      <c r="AA14" s="0" t="n">
        <v>110</v>
      </c>
      <c r="AB14" s="0" t="s">
        <v>426</v>
      </c>
      <c r="AC14" s="0" t="n">
        <v>0.916666666666667</v>
      </c>
      <c r="AD14" s="0" t="s">
        <v>427</v>
      </c>
      <c r="AE14" s="0" t="s">
        <v>432</v>
      </c>
      <c r="AF14" s="0" t="n">
        <v>0</v>
      </c>
      <c r="AG14" s="0" t="s">
        <v>428</v>
      </c>
      <c r="AH14" s="0" t="n">
        <v>7</v>
      </c>
      <c r="AI14" s="0" t="n">
        <v>55</v>
      </c>
      <c r="AL14" s="0" t="n">
        <v>-18.1529303</v>
      </c>
      <c r="AM14" s="0" t="n">
        <v>-65.4085055</v>
      </c>
      <c r="AN14" s="67" t="n">
        <v>201611011928</v>
      </c>
      <c r="AO14" s="67" t="n">
        <v>1072771681</v>
      </c>
      <c r="AP14" s="67" t="n">
        <v>837975</v>
      </c>
      <c r="AQ14" s="67" t="n">
        <v>8412439</v>
      </c>
      <c r="AR14" s="0" t="n">
        <v>1</v>
      </c>
    </row>
    <row r="15" customFormat="false" ht="15" hidden="false" customHeight="false" outlineLevel="0" collapsed="false">
      <c r="A15" s="0" t="n">
        <v>17</v>
      </c>
      <c r="B15" s="0" t="n">
        <v>44952</v>
      </c>
      <c r="C15" s="0" t="s">
        <v>94</v>
      </c>
      <c r="D15" s="0" t="s">
        <v>95</v>
      </c>
      <c r="E15" s="0" t="s">
        <v>419</v>
      </c>
      <c r="F15" s="0" t="n">
        <v>29</v>
      </c>
      <c r="G15" s="0" t="s">
        <v>438</v>
      </c>
      <c r="H15" s="0" t="n">
        <v>12742948</v>
      </c>
      <c r="I15" s="0" t="s">
        <v>42</v>
      </c>
      <c r="J15" s="0" t="n">
        <v>0</v>
      </c>
      <c r="K15" s="0" t="n">
        <v>2</v>
      </c>
      <c r="L15" s="0" t="n">
        <v>1</v>
      </c>
      <c r="M15" s="0" t="n">
        <v>1</v>
      </c>
      <c r="N15" s="0" t="n">
        <v>1</v>
      </c>
      <c r="O15" s="0" t="n">
        <v>1</v>
      </c>
      <c r="P15" s="0" t="n">
        <v>0</v>
      </c>
      <c r="Q15" s="0" t="s">
        <v>147</v>
      </c>
      <c r="R15" s="0" t="s">
        <v>65</v>
      </c>
      <c r="S15" s="0" t="n">
        <v>4</v>
      </c>
      <c r="T15" s="0" t="s">
        <v>411</v>
      </c>
      <c r="U15" s="0" t="n">
        <v>200</v>
      </c>
      <c r="V15" s="0" t="n">
        <v>3</v>
      </c>
      <c r="W15" s="0" t="s">
        <v>411</v>
      </c>
      <c r="X15" s="0" t="s">
        <v>276</v>
      </c>
      <c r="Y15" s="0" t="s">
        <v>412</v>
      </c>
      <c r="Z15" s="0" t="s">
        <v>413</v>
      </c>
      <c r="AA15" s="0" t="n">
        <v>32</v>
      </c>
      <c r="AB15" s="0" t="s">
        <v>426</v>
      </c>
      <c r="AC15" s="0" t="n">
        <v>0.875</v>
      </c>
      <c r="AD15" s="0" t="s">
        <v>431</v>
      </c>
      <c r="AE15" s="0" t="s">
        <v>433</v>
      </c>
      <c r="AF15" s="0" t="n">
        <v>30</v>
      </c>
      <c r="AG15" s="0" t="s">
        <v>428</v>
      </c>
      <c r="AH15" s="0" t="n">
        <v>7</v>
      </c>
      <c r="AI15" s="0" t="n">
        <v>8</v>
      </c>
      <c r="AL15" s="0" t="n">
        <v>-18.1289625</v>
      </c>
      <c r="AM15" s="0" t="n">
        <v>-65.4762248</v>
      </c>
      <c r="AR15" s="0" t="n">
        <v>0</v>
      </c>
    </row>
    <row r="16" customFormat="false" ht="15" hidden="false" customHeight="false" outlineLevel="0" collapsed="false">
      <c r="A16" s="0" t="n">
        <v>11</v>
      </c>
      <c r="B16" s="0" t="n">
        <v>44952</v>
      </c>
      <c r="C16" s="0" t="s">
        <v>97</v>
      </c>
      <c r="D16" s="0" t="s">
        <v>98</v>
      </c>
      <c r="E16" s="0" t="s">
        <v>409</v>
      </c>
      <c r="F16" s="0" t="n">
        <v>44</v>
      </c>
      <c r="G16" s="0" t="s">
        <v>410</v>
      </c>
      <c r="H16" s="0" t="n">
        <v>6528929</v>
      </c>
      <c r="I16" s="0" t="s">
        <v>42</v>
      </c>
      <c r="J16" s="0" t="n">
        <v>0</v>
      </c>
      <c r="K16" s="0" t="n">
        <v>4</v>
      </c>
      <c r="L16" s="0" t="n">
        <v>3</v>
      </c>
      <c r="M16" s="0" t="n">
        <v>1</v>
      </c>
      <c r="N16" s="0" t="n">
        <v>3</v>
      </c>
      <c r="O16" s="0" t="n">
        <v>1</v>
      </c>
      <c r="P16" s="0" t="n">
        <v>0</v>
      </c>
      <c r="Q16" s="0" t="s">
        <v>147</v>
      </c>
      <c r="R16" s="0" t="s">
        <v>60</v>
      </c>
      <c r="S16" s="0" t="n">
        <v>8</v>
      </c>
      <c r="T16" s="0" t="s">
        <v>411</v>
      </c>
      <c r="U16" s="0" t="n">
        <v>100</v>
      </c>
      <c r="V16" s="0" t="n">
        <v>4</v>
      </c>
      <c r="W16" s="0" t="s">
        <v>411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s="0" t="n">
        <v>-18.1322506</v>
      </c>
      <c r="AM16" s="0" t="n">
        <v>-65.4091419</v>
      </c>
      <c r="AR16" s="0" t="n">
        <v>0</v>
      </c>
    </row>
    <row r="17" customFormat="false" ht="15" hidden="false" customHeight="false" outlineLevel="0" collapsed="false">
      <c r="A17" s="0" t="n">
        <v>4</v>
      </c>
      <c r="B17" s="0" t="n">
        <v>44952</v>
      </c>
      <c r="C17" s="0" t="s">
        <v>99</v>
      </c>
      <c r="D17" s="0" t="s">
        <v>100</v>
      </c>
      <c r="E17" s="0" t="s">
        <v>419</v>
      </c>
      <c r="F17" s="0" t="n">
        <v>71</v>
      </c>
      <c r="G17" s="0" t="s">
        <v>420</v>
      </c>
      <c r="H17" s="0" t="n">
        <v>3005430</v>
      </c>
      <c r="I17" s="0" t="s">
        <v>42</v>
      </c>
      <c r="J17" s="0" t="n">
        <v>0</v>
      </c>
      <c r="K17" s="0" t="n">
        <v>0</v>
      </c>
      <c r="L17" s="0" t="n">
        <v>0</v>
      </c>
      <c r="M17" s="0" t="n">
        <v>1</v>
      </c>
      <c r="N17" s="0" t="n">
        <v>0</v>
      </c>
      <c r="O17" s="0" t="n">
        <v>1</v>
      </c>
      <c r="P17" s="0" t="n">
        <v>0</v>
      </c>
      <c r="Q17" s="0" t="s">
        <v>412</v>
      </c>
      <c r="R17" s="0" t="s">
        <v>93</v>
      </c>
      <c r="S17" s="0" t="n">
        <v>1</v>
      </c>
      <c r="T17" s="0" t="s">
        <v>411</v>
      </c>
      <c r="U17" s="0" t="n">
        <v>0</v>
      </c>
      <c r="V17" s="0" t="n">
        <v>4</v>
      </c>
      <c r="W17" s="0" t="s">
        <v>423</v>
      </c>
      <c r="X17" s="0" t="s">
        <v>429</v>
      </c>
      <c r="Y17" s="0" t="s">
        <v>412</v>
      </c>
      <c r="Z17" s="0" t="s">
        <v>421</v>
      </c>
      <c r="AA17" s="0" t="n">
        <v>28</v>
      </c>
      <c r="AB17" s="0" t="s">
        <v>414</v>
      </c>
      <c r="AC17" s="0" t="n">
        <v>0.916666666666667</v>
      </c>
      <c r="AD17" s="0" t="s">
        <v>187</v>
      </c>
      <c r="AE17" s="0" t="s">
        <v>433</v>
      </c>
      <c r="AF17" s="0" t="n">
        <v>35</v>
      </c>
      <c r="AG17" s="0" t="s">
        <v>428</v>
      </c>
      <c r="AH17" s="0" t="n">
        <v>7</v>
      </c>
      <c r="AI17" s="0" t="n">
        <v>10</v>
      </c>
      <c r="AL17" s="0" t="n">
        <v>-18.1495898</v>
      </c>
      <c r="AM17" s="0" t="n">
        <v>-65.4725349</v>
      </c>
      <c r="AR17" s="0" t="n">
        <v>0</v>
      </c>
    </row>
    <row r="18" customFormat="false" ht="15" hidden="false" customHeight="false" outlineLevel="0" collapsed="false">
      <c r="A18" s="0" t="n">
        <v>74</v>
      </c>
      <c r="B18" s="0" t="n">
        <v>44951</v>
      </c>
      <c r="C18" s="0" t="s">
        <v>101</v>
      </c>
      <c r="D18" s="0" t="s">
        <v>102</v>
      </c>
      <c r="E18" s="0" t="s">
        <v>409</v>
      </c>
      <c r="F18" s="0" t="n">
        <v>58</v>
      </c>
      <c r="G18" s="0" t="s">
        <v>410</v>
      </c>
      <c r="H18" s="0" t="n">
        <v>8750592</v>
      </c>
      <c r="I18" s="0" t="s">
        <v>51</v>
      </c>
      <c r="J18" s="0" t="n">
        <v>0</v>
      </c>
      <c r="K18" s="0" t="n">
        <v>0</v>
      </c>
      <c r="L18" s="0" t="n">
        <v>2</v>
      </c>
      <c r="M18" s="0" t="n">
        <v>2</v>
      </c>
      <c r="N18" s="0" t="n">
        <v>2</v>
      </c>
      <c r="O18" s="0" t="n">
        <v>2</v>
      </c>
      <c r="P18" s="0" t="n">
        <v>0</v>
      </c>
      <c r="Q18" s="0" t="s">
        <v>412</v>
      </c>
      <c r="R18" s="0" t="s">
        <v>47</v>
      </c>
      <c r="S18" s="0" t="n">
        <v>4</v>
      </c>
      <c r="T18" s="0" t="s">
        <v>411</v>
      </c>
      <c r="U18" s="0" t="n">
        <v>250</v>
      </c>
      <c r="V18" s="0" t="n">
        <v>3</v>
      </c>
      <c r="W18" s="0" t="s">
        <v>423</v>
      </c>
      <c r="X18" s="0" t="s">
        <v>440</v>
      </c>
      <c r="Y18" s="0" t="s">
        <v>147</v>
      </c>
      <c r="Z18" s="0" t="s">
        <v>441</v>
      </c>
      <c r="AA18" s="0" t="n">
        <v>0</v>
      </c>
      <c r="AB18" s="0" t="s">
        <v>414</v>
      </c>
      <c r="AC18" s="0" t="n">
        <v>0.916666666666667</v>
      </c>
      <c r="AD18" s="0" t="s">
        <v>427</v>
      </c>
      <c r="AE18" s="0" t="s">
        <v>433</v>
      </c>
      <c r="AF18" s="0" t="n">
        <v>70</v>
      </c>
      <c r="AG18" s="0" t="s">
        <v>428</v>
      </c>
      <c r="AH18" s="0" t="n">
        <v>7</v>
      </c>
      <c r="AI18" s="0" t="n">
        <v>61</v>
      </c>
      <c r="AL18" s="0" t="n">
        <v>-18.2399864</v>
      </c>
      <c r="AM18" s="0" t="n">
        <v>-65.3428238</v>
      </c>
      <c r="AN18" s="67" t="n">
        <v>201611010165</v>
      </c>
      <c r="AO18" s="67" t="n">
        <v>1072771337</v>
      </c>
      <c r="AP18" s="67" t="n">
        <v>837987</v>
      </c>
      <c r="AQ18" s="67" t="n">
        <v>8412426</v>
      </c>
      <c r="AR18" s="0" t="n">
        <v>0</v>
      </c>
    </row>
    <row r="19" customFormat="false" ht="15" hidden="false" customHeight="false" outlineLevel="0" collapsed="false">
      <c r="A19" s="0" t="n">
        <v>8</v>
      </c>
      <c r="B19" s="0" t="n">
        <v>44952</v>
      </c>
      <c r="C19" s="0" t="s">
        <v>106</v>
      </c>
      <c r="D19" s="0" t="s">
        <v>107</v>
      </c>
      <c r="E19" s="0" t="s">
        <v>409</v>
      </c>
      <c r="F19" s="0" t="n">
        <v>51</v>
      </c>
      <c r="G19" s="0" t="s">
        <v>410</v>
      </c>
      <c r="H19" s="0" t="n">
        <v>7970428</v>
      </c>
      <c r="I19" s="0" t="s">
        <v>42</v>
      </c>
      <c r="J19" s="0" t="n">
        <v>0</v>
      </c>
      <c r="K19" s="0" t="n">
        <v>3</v>
      </c>
      <c r="L19" s="0" t="n">
        <v>2</v>
      </c>
      <c r="M19" s="0" t="n">
        <v>0</v>
      </c>
      <c r="N19" s="0" t="n">
        <v>1</v>
      </c>
      <c r="O19" s="0" t="n">
        <v>1</v>
      </c>
      <c r="P19" s="0" t="n">
        <v>0</v>
      </c>
      <c r="Q19" s="0" t="s">
        <v>147</v>
      </c>
      <c r="R19" s="0" t="s">
        <v>65</v>
      </c>
      <c r="S19" s="0" t="n">
        <v>5</v>
      </c>
      <c r="T19" s="0" t="s">
        <v>411</v>
      </c>
      <c r="U19" s="0" t="n">
        <v>100</v>
      </c>
      <c r="V19" s="0" t="n">
        <v>4</v>
      </c>
      <c r="W19" s="0" t="s">
        <v>423</v>
      </c>
      <c r="X19" s="0" t="s">
        <v>424</v>
      </c>
      <c r="Y19" s="0" t="s">
        <v>412</v>
      </c>
      <c r="Z19" s="0" t="s">
        <v>413</v>
      </c>
      <c r="AA19" s="0" t="n">
        <v>32</v>
      </c>
      <c r="AB19" s="0" t="s">
        <v>414</v>
      </c>
      <c r="AC19" s="0" t="n">
        <v>0.916666666666667</v>
      </c>
      <c r="AD19" s="0" t="s">
        <v>442</v>
      </c>
      <c r="AE19" s="0" t="s">
        <v>433</v>
      </c>
      <c r="AF19" s="0" t="n">
        <v>35</v>
      </c>
      <c r="AG19" s="0" t="s">
        <v>428</v>
      </c>
      <c r="AH19" s="0" t="n">
        <v>7</v>
      </c>
      <c r="AI19" s="0" t="n">
        <v>11</v>
      </c>
      <c r="AL19" s="0" t="n">
        <v>-18.1680025</v>
      </c>
      <c r="AM19" s="0" t="n">
        <v>-65.4675922</v>
      </c>
      <c r="AR19" s="0" t="n">
        <v>0</v>
      </c>
    </row>
    <row r="20" customFormat="false" ht="15" hidden="false" customHeight="false" outlineLevel="0" collapsed="false">
      <c r="A20" s="0" t="n">
        <v>100</v>
      </c>
      <c r="B20" s="0" t="n">
        <v>44952</v>
      </c>
      <c r="C20" s="0" t="s">
        <v>111</v>
      </c>
      <c r="D20" s="0" t="s">
        <v>112</v>
      </c>
      <c r="E20" s="0" t="s">
        <v>409</v>
      </c>
      <c r="F20" s="0" t="n">
        <v>64</v>
      </c>
      <c r="G20" s="0" t="s">
        <v>443</v>
      </c>
      <c r="H20" s="0" t="n">
        <v>3005408</v>
      </c>
      <c r="I20" s="0" t="s">
        <v>33</v>
      </c>
      <c r="J20" s="0" t="n">
        <v>0</v>
      </c>
      <c r="K20" s="0" t="n">
        <v>0</v>
      </c>
      <c r="L20" s="0" t="n">
        <v>0</v>
      </c>
      <c r="M20" s="0" t="n">
        <v>1</v>
      </c>
      <c r="N20" s="0" t="n">
        <v>1</v>
      </c>
      <c r="O20" s="0" t="n">
        <v>0</v>
      </c>
      <c r="P20" s="0" t="n">
        <v>0</v>
      </c>
      <c r="Q20" s="0" t="s">
        <v>412</v>
      </c>
      <c r="R20" s="0" t="s">
        <v>93</v>
      </c>
      <c r="S20" s="0" t="n">
        <v>1</v>
      </c>
      <c r="T20" s="0" t="s">
        <v>411</v>
      </c>
      <c r="U20" s="0" t="n">
        <v>0</v>
      </c>
      <c r="V20" s="0" t="n">
        <v>2</v>
      </c>
      <c r="W20" s="0" t="s">
        <v>411</v>
      </c>
      <c r="X20" s="0" t="s">
        <v>276</v>
      </c>
      <c r="Y20" s="0" t="s">
        <v>147</v>
      </c>
      <c r="Z20" s="0" t="s">
        <v>444</v>
      </c>
      <c r="AA20" s="0" t="n">
        <v>0</v>
      </c>
      <c r="AB20" s="0" t="s">
        <v>414</v>
      </c>
      <c r="AC20" s="0" t="n">
        <v>0.916666666666667</v>
      </c>
      <c r="AD20" s="0" t="s">
        <v>427</v>
      </c>
      <c r="AE20" s="0" t="s">
        <v>416</v>
      </c>
      <c r="AF20" s="0" t="n">
        <v>0</v>
      </c>
      <c r="AG20" s="0" t="s">
        <v>445</v>
      </c>
      <c r="AH20" s="0" t="n">
        <v>0</v>
      </c>
      <c r="AI20" s="0" t="n">
        <v>92</v>
      </c>
      <c r="AL20" s="0" t="n">
        <v>-18.1378466</v>
      </c>
      <c r="AM20" s="0" t="n">
        <v>-65.5157741</v>
      </c>
      <c r="AN20" s="67" t="n">
        <v>201611010366</v>
      </c>
      <c r="AO20" s="67" t="n">
        <v>1072770006</v>
      </c>
      <c r="AP20" s="67" t="n">
        <v>837970</v>
      </c>
      <c r="AQ20" s="67" t="n">
        <v>8412411</v>
      </c>
      <c r="AR20" s="0" t="n">
        <v>0</v>
      </c>
    </row>
    <row r="21" customFormat="false" ht="15" hidden="false" customHeight="false" outlineLevel="0" collapsed="false">
      <c r="A21" s="0" t="n">
        <v>43</v>
      </c>
      <c r="B21" s="0" t="n">
        <v>44952</v>
      </c>
      <c r="C21" s="0" t="s">
        <v>116</v>
      </c>
      <c r="D21" s="0" t="s">
        <v>117</v>
      </c>
      <c r="E21" s="0" t="s">
        <v>409</v>
      </c>
      <c r="F21" s="0" t="n">
        <v>62</v>
      </c>
      <c r="G21" s="0" t="s">
        <v>410</v>
      </c>
      <c r="H21" s="0" t="n">
        <v>4395982</v>
      </c>
      <c r="I21" s="0" t="s">
        <v>42</v>
      </c>
      <c r="J21" s="0" t="n">
        <v>0</v>
      </c>
      <c r="K21" s="0" t="n">
        <v>0</v>
      </c>
      <c r="L21" s="0" t="n">
        <v>3</v>
      </c>
      <c r="M21" s="0" t="n">
        <v>2</v>
      </c>
      <c r="N21" s="0" t="n">
        <v>1</v>
      </c>
      <c r="O21" s="0" t="n">
        <v>2</v>
      </c>
      <c r="P21" s="0" t="n">
        <v>2</v>
      </c>
      <c r="Q21" s="0" t="s">
        <v>412</v>
      </c>
      <c r="R21" s="0" t="s">
        <v>47</v>
      </c>
      <c r="S21" s="0" t="n">
        <v>5</v>
      </c>
      <c r="T21" s="0" t="s">
        <v>411</v>
      </c>
      <c r="U21" s="0" t="n">
        <v>1200</v>
      </c>
      <c r="V21" s="0" t="n">
        <v>3</v>
      </c>
      <c r="W21" s="0" t="s">
        <v>411</v>
      </c>
      <c r="X21" s="0" t="s">
        <v>276</v>
      </c>
      <c r="Y21" s="0" t="s">
        <v>412</v>
      </c>
      <c r="Z21" s="0" t="s">
        <v>413</v>
      </c>
      <c r="AA21" s="0" t="n">
        <v>24</v>
      </c>
      <c r="AB21" s="0" t="s">
        <v>414</v>
      </c>
      <c r="AC21" s="0" t="n">
        <v>0.833333333333333</v>
      </c>
      <c r="AD21" s="0" t="s">
        <v>431</v>
      </c>
      <c r="AE21" s="0" t="s">
        <v>433</v>
      </c>
      <c r="AF21" s="0" t="n">
        <v>35</v>
      </c>
      <c r="AG21" s="0" t="s">
        <v>422</v>
      </c>
      <c r="AH21" s="0" t="n">
        <v>0</v>
      </c>
      <c r="AI21" s="0" t="n">
        <v>12</v>
      </c>
      <c r="AL21" s="0" t="n">
        <v>-18.1808217</v>
      </c>
      <c r="AM21" s="0" t="n">
        <v>-65.4633663</v>
      </c>
      <c r="AR21" s="0" t="n">
        <v>0</v>
      </c>
    </row>
    <row r="22" customFormat="false" ht="15" hidden="false" customHeight="false" outlineLevel="0" collapsed="false">
      <c r="A22" s="0" t="n">
        <v>54</v>
      </c>
      <c r="B22" s="0" t="n">
        <v>44952</v>
      </c>
      <c r="C22" s="0" t="s">
        <v>118</v>
      </c>
      <c r="D22" s="0" t="s">
        <v>119</v>
      </c>
      <c r="E22" s="0" t="s">
        <v>409</v>
      </c>
      <c r="F22" s="0" t="n">
        <v>55</v>
      </c>
      <c r="G22" s="0" t="s">
        <v>410</v>
      </c>
      <c r="H22" s="0" t="n">
        <v>8753889</v>
      </c>
      <c r="I22" s="0" t="s">
        <v>59</v>
      </c>
      <c r="J22" s="0" t="n">
        <v>0</v>
      </c>
      <c r="K22" s="0" t="n">
        <v>0</v>
      </c>
      <c r="L22" s="0" t="n">
        <v>4</v>
      </c>
      <c r="M22" s="0" t="n">
        <v>2</v>
      </c>
      <c r="N22" s="0" t="n">
        <v>3</v>
      </c>
      <c r="O22" s="0" t="n">
        <v>2</v>
      </c>
      <c r="P22" s="0" t="n">
        <v>1</v>
      </c>
      <c r="Q22" s="0" t="s">
        <v>412</v>
      </c>
      <c r="R22" s="0" t="s">
        <v>47</v>
      </c>
      <c r="S22" s="0" t="n">
        <v>6</v>
      </c>
      <c r="T22" s="0" t="s">
        <v>411</v>
      </c>
      <c r="U22" s="0" t="n">
        <v>400</v>
      </c>
      <c r="V22" s="0" t="n">
        <v>4</v>
      </c>
      <c r="W22" s="0" t="s">
        <v>423</v>
      </c>
      <c r="X22" s="0" t="s">
        <v>424</v>
      </c>
      <c r="Y22" s="0" t="s">
        <v>412</v>
      </c>
      <c r="Z22" s="0" t="s">
        <v>430</v>
      </c>
      <c r="AA22" s="0" t="n">
        <v>46</v>
      </c>
      <c r="AB22" s="0" t="s">
        <v>414</v>
      </c>
      <c r="AC22" s="0" t="n">
        <v>0.875</v>
      </c>
      <c r="AD22" s="0" t="s">
        <v>415</v>
      </c>
      <c r="AE22" s="0" t="s">
        <v>433</v>
      </c>
      <c r="AF22" s="0" t="n">
        <v>35</v>
      </c>
      <c r="AG22" s="0" t="s">
        <v>428</v>
      </c>
      <c r="AH22" s="0" t="n">
        <v>7</v>
      </c>
      <c r="AI22" s="0" t="n">
        <v>47</v>
      </c>
      <c r="AL22" s="0" t="n">
        <v>-18.1437187</v>
      </c>
      <c r="AM22" s="0" t="n">
        <v>-65.4537737</v>
      </c>
      <c r="AN22" s="67" t="n">
        <v>201611010299</v>
      </c>
      <c r="AO22" s="67" t="n">
        <v>1072770683</v>
      </c>
      <c r="AP22" s="67" t="n">
        <v>83788</v>
      </c>
      <c r="AQ22" s="67" t="n">
        <v>8414276</v>
      </c>
      <c r="AR22" s="0" t="n">
        <v>0</v>
      </c>
    </row>
    <row r="23" customFormat="false" ht="15" hidden="false" customHeight="false" outlineLevel="0" collapsed="false">
      <c r="A23" s="0" t="n">
        <v>25</v>
      </c>
      <c r="B23" s="0" t="n">
        <v>44952</v>
      </c>
      <c r="C23" s="0" t="s">
        <v>120</v>
      </c>
      <c r="D23" s="0" t="s">
        <v>121</v>
      </c>
      <c r="E23" s="0" t="s">
        <v>409</v>
      </c>
      <c r="F23" s="0" t="n">
        <v>55</v>
      </c>
      <c r="G23" s="0" t="s">
        <v>410</v>
      </c>
      <c r="H23" s="0" t="n">
        <v>8856518</v>
      </c>
      <c r="I23" s="0" t="s">
        <v>42</v>
      </c>
      <c r="J23" s="0" t="n">
        <v>0</v>
      </c>
      <c r="K23" s="0" t="n">
        <v>0</v>
      </c>
      <c r="L23" s="0" t="n">
        <v>4</v>
      </c>
      <c r="M23" s="0" t="n">
        <v>0</v>
      </c>
      <c r="N23" s="0" t="n">
        <v>2</v>
      </c>
      <c r="O23" s="0" t="n">
        <v>2</v>
      </c>
      <c r="P23" s="0" t="n">
        <v>0</v>
      </c>
      <c r="Q23" s="0" t="s">
        <v>147</v>
      </c>
      <c r="R23" s="0" t="s">
        <v>47</v>
      </c>
      <c r="S23" s="0" t="n">
        <v>4</v>
      </c>
      <c r="T23" s="0" t="s">
        <v>411</v>
      </c>
      <c r="U23" s="0" t="n">
        <v>300</v>
      </c>
      <c r="V23" s="0" t="n">
        <v>4</v>
      </c>
      <c r="W23" s="0" t="s">
        <v>423</v>
      </c>
      <c r="X23" s="0" t="s">
        <v>429</v>
      </c>
      <c r="Y23" s="0" t="s">
        <v>412</v>
      </c>
      <c r="Z23" s="0" t="s">
        <v>430</v>
      </c>
      <c r="AA23" s="0" t="n">
        <v>60</v>
      </c>
      <c r="AB23" s="0" t="s">
        <v>426</v>
      </c>
      <c r="AC23" s="0" t="n">
        <v>0.916666666666667</v>
      </c>
      <c r="AD23" s="0" t="s">
        <v>431</v>
      </c>
      <c r="AE23" s="0" t="s">
        <v>416</v>
      </c>
      <c r="AF23" s="0" t="n">
        <v>0</v>
      </c>
      <c r="AG23" s="0" t="s">
        <v>422</v>
      </c>
      <c r="AH23" s="0" t="n">
        <v>0</v>
      </c>
      <c r="AI23" s="0" t="n">
        <v>13</v>
      </c>
      <c r="AJ23" s="0" t="n">
        <v>0</v>
      </c>
      <c r="AK23" s="2" t="n">
        <v>0</v>
      </c>
      <c r="AL23" s="0" t="n">
        <v>-18.1443632</v>
      </c>
      <c r="AM23" s="0" t="n">
        <v>-65.4860788</v>
      </c>
      <c r="AR23" s="0" t="n">
        <v>0</v>
      </c>
    </row>
    <row r="24" customFormat="false" ht="15" hidden="false" customHeight="false" outlineLevel="0" collapsed="false">
      <c r="A24" s="0" t="n">
        <v>5</v>
      </c>
      <c r="B24" s="0" t="n">
        <v>44952</v>
      </c>
      <c r="C24" s="0" t="s">
        <v>123</v>
      </c>
      <c r="D24" s="0" t="s">
        <v>124</v>
      </c>
      <c r="E24" s="0" t="s">
        <v>409</v>
      </c>
      <c r="F24" s="0" t="n">
        <v>42</v>
      </c>
      <c r="G24" s="0" t="s">
        <v>410</v>
      </c>
      <c r="H24" s="0" t="n">
        <v>6538153</v>
      </c>
      <c r="I24" s="0" t="s">
        <v>42</v>
      </c>
      <c r="J24" s="0" t="n">
        <v>0</v>
      </c>
      <c r="K24" s="0" t="n">
        <v>0</v>
      </c>
      <c r="L24" s="0" t="n">
        <v>0</v>
      </c>
      <c r="M24" s="0" t="n">
        <v>2</v>
      </c>
      <c r="N24" s="0" t="n">
        <v>2</v>
      </c>
      <c r="O24" s="0" t="n">
        <v>0</v>
      </c>
      <c r="P24" s="0" t="n">
        <v>0</v>
      </c>
      <c r="Q24" s="0" t="s">
        <v>412</v>
      </c>
      <c r="R24" s="0" t="s">
        <v>125</v>
      </c>
      <c r="S24" s="0" t="n">
        <v>2</v>
      </c>
      <c r="T24" s="0" t="s">
        <v>411</v>
      </c>
      <c r="U24" s="0" t="n">
        <v>0</v>
      </c>
      <c r="V24" s="0" t="n">
        <v>3</v>
      </c>
      <c r="W24" s="0" t="s">
        <v>423</v>
      </c>
      <c r="X24" s="0" t="s">
        <v>424</v>
      </c>
      <c r="Y24" s="0" t="s">
        <v>412</v>
      </c>
      <c r="Z24" s="0" t="s">
        <v>421</v>
      </c>
      <c r="AA24" s="0" t="n">
        <v>69</v>
      </c>
      <c r="AB24" s="0" t="s">
        <v>414</v>
      </c>
      <c r="AC24" s="0" t="n">
        <v>0.875</v>
      </c>
      <c r="AD24" s="0" t="s">
        <v>442</v>
      </c>
      <c r="AE24" s="0" t="s">
        <v>446</v>
      </c>
      <c r="AF24" s="0" t="n">
        <v>35</v>
      </c>
      <c r="AG24" s="0" t="s">
        <v>428</v>
      </c>
      <c r="AH24" s="0" t="n">
        <v>7</v>
      </c>
      <c r="AI24" s="0" t="n">
        <v>14</v>
      </c>
      <c r="AL24" s="0" t="n">
        <v>-18.1628035</v>
      </c>
      <c r="AM24" s="0" t="n">
        <v>-65.4623887</v>
      </c>
      <c r="AR24" s="0" t="n">
        <v>1</v>
      </c>
      <c r="AS24" s="0" t="n">
        <v>1</v>
      </c>
    </row>
    <row r="25" customFormat="false" ht="15" hidden="false" customHeight="false" outlineLevel="0" collapsed="false">
      <c r="A25" s="0" t="n">
        <v>82</v>
      </c>
      <c r="B25" s="0" t="n">
        <v>44951</v>
      </c>
      <c r="C25" s="0" t="s">
        <v>123</v>
      </c>
      <c r="D25" s="0" t="s">
        <v>129</v>
      </c>
      <c r="E25" s="0" t="s">
        <v>409</v>
      </c>
      <c r="F25" s="0" t="n">
        <v>55</v>
      </c>
      <c r="G25" s="0" t="s">
        <v>410</v>
      </c>
      <c r="H25" s="0" t="n">
        <v>3799684</v>
      </c>
      <c r="I25" s="0" t="s">
        <v>51</v>
      </c>
      <c r="J25" s="0" t="n">
        <v>0</v>
      </c>
      <c r="K25" s="0" t="n">
        <v>1</v>
      </c>
      <c r="L25" s="0" t="n">
        <v>2</v>
      </c>
      <c r="M25" s="0" t="n">
        <v>0</v>
      </c>
      <c r="N25" s="0" t="n">
        <v>1</v>
      </c>
      <c r="O25" s="0" t="n">
        <v>1</v>
      </c>
      <c r="P25" s="0" t="n">
        <v>0</v>
      </c>
      <c r="Q25" s="0" t="s">
        <v>147</v>
      </c>
      <c r="R25" s="0" t="s">
        <v>65</v>
      </c>
      <c r="S25" s="0" t="n">
        <v>3</v>
      </c>
      <c r="T25" s="0" t="s">
        <v>411</v>
      </c>
      <c r="U25" s="0" t="n">
        <v>500</v>
      </c>
      <c r="V25" s="0" t="n">
        <v>2</v>
      </c>
      <c r="W25" s="0" t="s">
        <v>423</v>
      </c>
      <c r="X25" s="0" t="s">
        <v>429</v>
      </c>
      <c r="Y25" s="0" t="s">
        <v>412</v>
      </c>
      <c r="Z25" s="0" t="s">
        <v>447</v>
      </c>
      <c r="AA25" s="0" t="n">
        <v>42</v>
      </c>
      <c r="AB25" s="0" t="s">
        <v>414</v>
      </c>
      <c r="AC25" s="0" t="n">
        <v>0.916666666666667</v>
      </c>
      <c r="AD25" s="0" t="s">
        <v>427</v>
      </c>
      <c r="AE25" s="0" t="s">
        <v>416</v>
      </c>
      <c r="AF25" s="0" t="n">
        <v>0</v>
      </c>
      <c r="AG25" s="0" t="s">
        <v>428</v>
      </c>
      <c r="AH25" s="0" t="n">
        <v>7</v>
      </c>
      <c r="AI25" s="0" t="n">
        <v>62</v>
      </c>
      <c r="AJ25" s="0" t="n">
        <v>0</v>
      </c>
      <c r="AK25" s="2" t="n">
        <v>0</v>
      </c>
      <c r="AL25" s="0" t="n">
        <v>-18.2279309</v>
      </c>
      <c r="AM25" s="0" t="n">
        <v>-65.3481947</v>
      </c>
      <c r="AN25" s="67" t="n">
        <v>201611010190</v>
      </c>
      <c r="AO25" s="67" t="n">
        <v>1072771339</v>
      </c>
      <c r="AP25" s="67" t="n">
        <v>837991</v>
      </c>
      <c r="AQ25" s="67" t="n">
        <v>8412440</v>
      </c>
      <c r="AR25" s="0" t="n">
        <v>0</v>
      </c>
    </row>
    <row r="26" s="71" customFormat="true" ht="15" hidden="false" customHeight="false" outlineLevel="0" collapsed="false">
      <c r="A26" s="71" t="n">
        <v>63</v>
      </c>
      <c r="B26" s="71" t="n">
        <v>44951</v>
      </c>
      <c r="C26" s="71" t="s">
        <v>130</v>
      </c>
      <c r="D26" s="71" t="s">
        <v>131</v>
      </c>
      <c r="E26" s="71" t="s">
        <v>409</v>
      </c>
      <c r="F26" s="71" t="n">
        <v>48</v>
      </c>
      <c r="G26" s="71" t="s">
        <v>410</v>
      </c>
      <c r="H26" s="71" t="n">
        <v>7989355</v>
      </c>
      <c r="I26" s="71" t="s">
        <v>51</v>
      </c>
      <c r="J26" s="71" t="n">
        <v>1</v>
      </c>
      <c r="K26" s="71" t="n">
        <v>4</v>
      </c>
      <c r="L26" s="71" t="n">
        <v>2</v>
      </c>
      <c r="M26" s="71" t="n">
        <v>0</v>
      </c>
      <c r="N26" s="71" t="n">
        <v>1</v>
      </c>
      <c r="O26" s="71" t="n">
        <v>1</v>
      </c>
      <c r="P26" s="71" t="n">
        <v>0</v>
      </c>
      <c r="Q26" s="71" t="s">
        <v>147</v>
      </c>
      <c r="R26" s="71" t="s">
        <v>76</v>
      </c>
      <c r="S26" s="71" t="n">
        <v>7</v>
      </c>
      <c r="T26" s="71" t="s">
        <v>411</v>
      </c>
      <c r="U26" s="71" t="n">
        <v>100</v>
      </c>
      <c r="V26" s="71" t="n">
        <v>3</v>
      </c>
      <c r="W26" s="71" t="s">
        <v>411</v>
      </c>
      <c r="X26" s="71" t="s">
        <v>276</v>
      </c>
      <c r="Y26" s="71" t="s">
        <v>412</v>
      </c>
      <c r="Z26" s="71" t="s">
        <v>430</v>
      </c>
      <c r="AA26" s="71" t="n">
        <v>124</v>
      </c>
      <c r="AB26" s="71" t="s">
        <v>426</v>
      </c>
      <c r="AC26" s="71" t="n">
        <v>0.875</v>
      </c>
      <c r="AD26" s="71" t="s">
        <v>448</v>
      </c>
      <c r="AE26" s="71" t="s">
        <v>433</v>
      </c>
      <c r="AF26" s="71" t="n">
        <v>35</v>
      </c>
      <c r="AG26" s="71" t="s">
        <v>428</v>
      </c>
      <c r="AH26" s="71" t="n">
        <v>14</v>
      </c>
      <c r="AI26" s="71" t="n">
        <v>63</v>
      </c>
      <c r="AJ26" s="71" t="n">
        <v>1</v>
      </c>
      <c r="AK26" s="2" t="s">
        <v>132</v>
      </c>
      <c r="AL26" s="71" t="n">
        <v>-18.235216</v>
      </c>
      <c r="AM26" s="71" t="n">
        <v>-65.3418804</v>
      </c>
      <c r="AN26" s="67" t="n">
        <v>201611011917</v>
      </c>
      <c r="AO26" s="67" t="n">
        <v>1072771332</v>
      </c>
      <c r="AP26" s="67" t="n">
        <v>837992</v>
      </c>
      <c r="AQ26" s="67" t="n">
        <v>8412449</v>
      </c>
      <c r="AR26" s="71" t="n">
        <v>1</v>
      </c>
      <c r="AS26" s="71" t="n">
        <v>0</v>
      </c>
      <c r="AT26" s="71" t="s">
        <v>449</v>
      </c>
    </row>
    <row r="27" customFormat="false" ht="15" hidden="false" customHeight="false" outlineLevel="0" collapsed="false">
      <c r="A27" s="0" t="n">
        <v>69</v>
      </c>
      <c r="B27" s="0" t="n">
        <v>44951</v>
      </c>
      <c r="C27" s="0" t="s">
        <v>135</v>
      </c>
      <c r="D27" s="0" t="s">
        <v>136</v>
      </c>
      <c r="E27" s="0" t="s">
        <v>419</v>
      </c>
      <c r="F27" s="0" t="n">
        <v>50</v>
      </c>
      <c r="G27" s="0" t="s">
        <v>420</v>
      </c>
      <c r="H27" s="0" t="n">
        <v>12582342</v>
      </c>
      <c r="I27" s="0" t="s">
        <v>51</v>
      </c>
      <c r="J27" s="0" t="n">
        <v>2</v>
      </c>
      <c r="K27" s="0" t="n">
        <v>4</v>
      </c>
      <c r="L27" s="0" t="n">
        <v>1</v>
      </c>
      <c r="M27" s="0" t="n">
        <v>0</v>
      </c>
      <c r="N27" s="0" t="n">
        <v>1</v>
      </c>
      <c r="O27" s="0" t="n">
        <v>0</v>
      </c>
      <c r="P27" s="0" t="n">
        <v>0</v>
      </c>
      <c r="Q27" s="0" t="s">
        <v>147</v>
      </c>
      <c r="R27" s="0" t="s">
        <v>137</v>
      </c>
      <c r="S27" s="0" t="n">
        <v>7</v>
      </c>
      <c r="T27" s="0" t="s">
        <v>423</v>
      </c>
      <c r="U27" s="0" t="n">
        <v>200</v>
      </c>
      <c r="V27" s="0" t="n">
        <v>4</v>
      </c>
      <c r="W27" s="0" t="s">
        <v>423</v>
      </c>
      <c r="X27" s="0" t="s">
        <v>450</v>
      </c>
      <c r="Y27" s="0" t="s">
        <v>412</v>
      </c>
      <c r="Z27" s="0" t="s">
        <v>430</v>
      </c>
      <c r="AA27" s="0" t="n">
        <v>48</v>
      </c>
      <c r="AB27" s="0" t="s">
        <v>414</v>
      </c>
      <c r="AC27" s="0" t="n">
        <v>0.916666666666667</v>
      </c>
      <c r="AD27" s="0" t="s">
        <v>427</v>
      </c>
      <c r="AE27" s="0" t="s">
        <v>433</v>
      </c>
      <c r="AF27" s="0" t="n">
        <v>35</v>
      </c>
      <c r="AG27" s="0" t="s">
        <v>428</v>
      </c>
      <c r="AH27" s="0" t="n">
        <v>7</v>
      </c>
      <c r="AI27" s="0" t="n">
        <v>64</v>
      </c>
      <c r="AJ27" s="0" t="n">
        <v>1</v>
      </c>
      <c r="AK27" s="2" t="s">
        <v>138</v>
      </c>
      <c r="AL27" s="0" t="n">
        <v>-18.2345213</v>
      </c>
      <c r="AM27" s="0" t="n">
        <v>-65.3468323</v>
      </c>
      <c r="AN27" s="67" t="n">
        <v>201611010083</v>
      </c>
      <c r="AO27" s="67" t="n">
        <v>1072771331</v>
      </c>
      <c r="AP27" s="67" t="n">
        <v>837962</v>
      </c>
      <c r="AQ27" s="67" t="n">
        <v>8412422</v>
      </c>
      <c r="AR27" s="0" t="n">
        <v>1</v>
      </c>
    </row>
    <row r="28" customFormat="false" ht="15" hidden="false" customHeight="false" outlineLevel="0" collapsed="false">
      <c r="A28" s="0" t="n">
        <v>86</v>
      </c>
      <c r="B28" s="0" t="s">
        <v>418</v>
      </c>
      <c r="C28" s="0" t="s">
        <v>140</v>
      </c>
      <c r="D28" s="0" t="s">
        <v>141</v>
      </c>
      <c r="E28" s="0" t="s">
        <v>409</v>
      </c>
      <c r="F28" s="0" t="n">
        <v>19</v>
      </c>
      <c r="G28" s="0" t="s">
        <v>438</v>
      </c>
      <c r="H28" s="0" t="n">
        <v>16823337</v>
      </c>
      <c r="I28" s="0" t="s">
        <v>51</v>
      </c>
      <c r="J28" s="0" t="s">
        <v>43</v>
      </c>
      <c r="K28" s="0" t="s">
        <v>43</v>
      </c>
      <c r="L28" s="0" t="s">
        <v>43</v>
      </c>
      <c r="M28" s="0" t="s">
        <v>43</v>
      </c>
      <c r="N28" s="0" t="s">
        <v>43</v>
      </c>
      <c r="O28" s="0" t="s">
        <v>43</v>
      </c>
      <c r="P28" s="0" t="s">
        <v>43</v>
      </c>
      <c r="Q28" s="0" t="s">
        <v>43</v>
      </c>
      <c r="R28" s="0" t="s">
        <v>43</v>
      </c>
      <c r="S28" s="0" t="s">
        <v>43</v>
      </c>
      <c r="T28" s="0" t="s">
        <v>43</v>
      </c>
      <c r="U28" s="0" t="s">
        <v>43</v>
      </c>
      <c r="V28" s="0" t="s">
        <v>43</v>
      </c>
      <c r="W28" s="0" t="s">
        <v>43</v>
      </c>
      <c r="X28" s="0" t="s">
        <v>43</v>
      </c>
      <c r="Y28" s="0" t="s">
        <v>43</v>
      </c>
      <c r="Z28" s="0" t="s">
        <v>43</v>
      </c>
      <c r="AA28" s="0" t="s">
        <v>43</v>
      </c>
      <c r="AB28" s="0" t="s">
        <v>43</v>
      </c>
      <c r="AC28" s="0" t="s">
        <v>43</v>
      </c>
      <c r="AD28" s="0" t="s">
        <v>43</v>
      </c>
      <c r="AE28" s="0" t="s">
        <v>43</v>
      </c>
      <c r="AF28" s="0" t="s">
        <v>43</v>
      </c>
      <c r="AG28" s="0" t="s">
        <v>43</v>
      </c>
      <c r="AH28" s="0" t="s">
        <v>43</v>
      </c>
      <c r="AI28" s="0" t="n">
        <v>65</v>
      </c>
      <c r="AL28" s="0" t="n">
        <v>-18.232222</v>
      </c>
      <c r="AM28" s="0" t="n">
        <v>-65.354041</v>
      </c>
      <c r="AN28" s="67" t="n">
        <v>201611010281</v>
      </c>
      <c r="AO28" s="67" t="n">
        <v>1072771333</v>
      </c>
      <c r="AP28" s="67" t="n">
        <v>837986</v>
      </c>
      <c r="AQ28" s="67" t="n">
        <v>8412424</v>
      </c>
      <c r="AR28" s="0" t="n">
        <v>0</v>
      </c>
    </row>
    <row r="29" customFormat="false" ht="15" hidden="false" customHeight="false" outlineLevel="0" collapsed="false">
      <c r="A29" s="0" t="n">
        <v>78</v>
      </c>
      <c r="B29" s="0" t="n">
        <v>44951</v>
      </c>
      <c r="C29" s="0" t="s">
        <v>143</v>
      </c>
      <c r="D29" s="0" t="s">
        <v>144</v>
      </c>
      <c r="E29" s="0" t="s">
        <v>409</v>
      </c>
      <c r="F29" s="0" t="n">
        <v>63</v>
      </c>
      <c r="G29" s="0" t="s">
        <v>410</v>
      </c>
      <c r="H29" s="0" t="n">
        <v>9500367</v>
      </c>
      <c r="I29" s="0" t="s">
        <v>51</v>
      </c>
      <c r="J29" s="0" t="n">
        <v>0</v>
      </c>
      <c r="K29" s="0" t="n">
        <v>1</v>
      </c>
      <c r="L29" s="0" t="n">
        <v>0</v>
      </c>
      <c r="M29" s="0" t="n">
        <v>2</v>
      </c>
      <c r="N29" s="0" t="n">
        <v>1</v>
      </c>
      <c r="O29" s="0" t="n">
        <v>1</v>
      </c>
      <c r="P29" s="0" t="n">
        <v>0</v>
      </c>
      <c r="Q29" s="0" t="s">
        <v>147</v>
      </c>
      <c r="R29" s="0" t="s">
        <v>65</v>
      </c>
      <c r="S29" s="0" t="n">
        <v>3</v>
      </c>
      <c r="T29" s="0" t="s">
        <v>423</v>
      </c>
      <c r="U29" s="0" t="n">
        <v>300</v>
      </c>
      <c r="V29" s="0" t="n">
        <v>2</v>
      </c>
      <c r="W29" s="0" t="s">
        <v>411</v>
      </c>
      <c r="X29" s="0" t="s">
        <v>276</v>
      </c>
      <c r="Y29" s="0" t="s">
        <v>412</v>
      </c>
      <c r="Z29" s="0" t="s">
        <v>451</v>
      </c>
      <c r="AA29" s="0" t="n">
        <v>16</v>
      </c>
      <c r="AB29" s="0" t="s">
        <v>426</v>
      </c>
      <c r="AC29" s="0" t="n">
        <v>0.833333333333333</v>
      </c>
      <c r="AD29" s="0" t="s">
        <v>427</v>
      </c>
      <c r="AE29" s="0" t="s">
        <v>416</v>
      </c>
      <c r="AF29" s="0" t="n">
        <v>0</v>
      </c>
      <c r="AG29" s="0" t="s">
        <v>428</v>
      </c>
      <c r="AH29" s="0" t="n">
        <v>14</v>
      </c>
      <c r="AI29" s="0" t="n">
        <v>66</v>
      </c>
      <c r="AL29" s="0" t="n">
        <v>-18.2293577</v>
      </c>
      <c r="AM29" s="0" t="n">
        <v>-65.3465344</v>
      </c>
      <c r="AN29" s="67" t="n">
        <v>201611010711</v>
      </c>
      <c r="AO29" s="67" t="n">
        <v>1072771338</v>
      </c>
      <c r="AP29" s="67" t="n">
        <v>837978</v>
      </c>
      <c r="AQ29" s="67" t="n">
        <v>8412442</v>
      </c>
      <c r="AR29" s="0" t="n">
        <v>1</v>
      </c>
    </row>
    <row r="30" customFormat="false" ht="15" hidden="false" customHeight="false" outlineLevel="0" collapsed="false">
      <c r="A30" s="0" t="n">
        <v>19</v>
      </c>
      <c r="B30" s="0" t="n">
        <v>44952</v>
      </c>
      <c r="C30" s="0" t="s">
        <v>145</v>
      </c>
      <c r="D30" s="0" t="s">
        <v>146</v>
      </c>
      <c r="E30" s="0" t="s">
        <v>409</v>
      </c>
      <c r="F30" s="0" t="n">
        <v>61</v>
      </c>
      <c r="G30" s="0" t="s">
        <v>410</v>
      </c>
      <c r="H30" s="0" t="n">
        <v>8856397</v>
      </c>
      <c r="I30" s="0" t="s">
        <v>42</v>
      </c>
      <c r="J30" s="0" t="n">
        <v>0</v>
      </c>
      <c r="K30" s="0" t="n">
        <v>2</v>
      </c>
      <c r="L30" s="0" t="n">
        <v>3</v>
      </c>
      <c r="M30" s="0" t="n">
        <v>1</v>
      </c>
      <c r="N30" s="0" t="n">
        <v>1</v>
      </c>
      <c r="O30" s="0" t="n">
        <v>3</v>
      </c>
      <c r="P30" s="0" t="n">
        <v>0</v>
      </c>
      <c r="Q30" s="0" t="s">
        <v>147</v>
      </c>
      <c r="R30" s="0" t="s">
        <v>60</v>
      </c>
      <c r="S30" s="0" t="n">
        <v>7</v>
      </c>
      <c r="T30" s="0" t="s">
        <v>411</v>
      </c>
      <c r="U30" s="0" t="n">
        <v>200</v>
      </c>
      <c r="V30" s="0" t="n">
        <v>4</v>
      </c>
      <c r="W30" s="0" t="s">
        <v>423</v>
      </c>
      <c r="X30" s="0" t="s">
        <v>429</v>
      </c>
      <c r="Y30" s="0" t="s">
        <v>412</v>
      </c>
      <c r="Z30" s="0" t="s">
        <v>452</v>
      </c>
      <c r="AA30" s="0" t="n">
        <v>10</v>
      </c>
      <c r="AB30" s="0" t="s">
        <v>414</v>
      </c>
      <c r="AC30" s="0" t="n">
        <v>0.916666666666667</v>
      </c>
      <c r="AD30" s="0" t="s">
        <v>431</v>
      </c>
      <c r="AE30" s="0" t="s">
        <v>416</v>
      </c>
      <c r="AF30" s="0" t="n">
        <v>0</v>
      </c>
      <c r="AG30" s="0" t="s">
        <v>428</v>
      </c>
      <c r="AH30" s="0" t="n">
        <v>7</v>
      </c>
      <c r="AI30" s="0" t="n">
        <v>15</v>
      </c>
      <c r="AL30" s="0" t="n">
        <v>-18.1634712</v>
      </c>
      <c r="AM30" s="0" t="n">
        <v>-65.4672998</v>
      </c>
      <c r="AR30" s="0" t="n">
        <v>0</v>
      </c>
    </row>
    <row r="31" customFormat="false" ht="15" hidden="false" customHeight="false" outlineLevel="0" collapsed="false">
      <c r="A31" s="0" t="n">
        <v>16</v>
      </c>
      <c r="B31" s="0" t="n">
        <v>44952</v>
      </c>
      <c r="C31" s="0" t="s">
        <v>151</v>
      </c>
      <c r="D31" s="0" t="s">
        <v>152</v>
      </c>
      <c r="E31" s="0" t="s">
        <v>419</v>
      </c>
      <c r="F31" s="0" t="n">
        <v>38</v>
      </c>
      <c r="G31" s="0" t="s">
        <v>420</v>
      </c>
      <c r="H31" s="0" t="n">
        <v>8856609</v>
      </c>
      <c r="I31" s="0" t="s">
        <v>42</v>
      </c>
      <c r="J31" s="0" t="n">
        <v>1</v>
      </c>
      <c r="K31" s="0" t="n">
        <v>5</v>
      </c>
      <c r="L31" s="0" t="n">
        <v>2</v>
      </c>
      <c r="M31" s="0" t="n">
        <v>0</v>
      </c>
      <c r="N31" s="0" t="n">
        <v>1</v>
      </c>
      <c r="O31" s="0" t="n">
        <v>1</v>
      </c>
      <c r="P31" s="0" t="n">
        <v>0</v>
      </c>
      <c r="Q31" s="0" t="s">
        <v>147</v>
      </c>
      <c r="R31" s="0" t="s">
        <v>76</v>
      </c>
      <c r="S31" s="0" t="n">
        <v>8</v>
      </c>
      <c r="T31" s="0" t="s">
        <v>411</v>
      </c>
      <c r="U31" s="0" t="n">
        <v>200</v>
      </c>
      <c r="V31" s="0" t="n">
        <v>3</v>
      </c>
      <c r="W31" s="0" t="s">
        <v>423</v>
      </c>
      <c r="X31" s="0" t="s">
        <v>424</v>
      </c>
      <c r="Y31" s="0" t="s">
        <v>412</v>
      </c>
      <c r="Z31" s="0" t="s">
        <v>430</v>
      </c>
      <c r="AA31" s="0" t="n">
        <v>52</v>
      </c>
      <c r="AB31" s="0" t="s">
        <v>414</v>
      </c>
      <c r="AC31" s="0" t="n">
        <v>0.916666666666667</v>
      </c>
      <c r="AD31" s="0" t="s">
        <v>431</v>
      </c>
      <c r="AE31" s="0" t="s">
        <v>416</v>
      </c>
      <c r="AF31" s="0" t="n">
        <v>0</v>
      </c>
      <c r="AG31" s="0" t="s">
        <v>417</v>
      </c>
      <c r="AH31" s="0" t="n">
        <v>7</v>
      </c>
      <c r="AI31" s="0" t="n">
        <v>16</v>
      </c>
      <c r="AL31" s="0" t="n">
        <v>-18.1697854</v>
      </c>
      <c r="AM31" s="0" t="n">
        <v>-65.4592378</v>
      </c>
      <c r="AR31" s="0" t="n">
        <v>0</v>
      </c>
    </row>
    <row r="32" customFormat="false" ht="15" hidden="false" customHeight="false" outlineLevel="0" collapsed="false">
      <c r="A32" s="0" t="n">
        <v>94</v>
      </c>
      <c r="B32" s="0" t="n">
        <v>44952</v>
      </c>
      <c r="C32" s="0" t="s">
        <v>153</v>
      </c>
      <c r="D32" s="0" t="s">
        <v>154</v>
      </c>
      <c r="E32" s="0" t="s">
        <v>409</v>
      </c>
      <c r="F32" s="0" t="s">
        <v>43</v>
      </c>
      <c r="G32" s="0" t="s">
        <v>43</v>
      </c>
      <c r="H32" s="0" t="s">
        <v>43</v>
      </c>
      <c r="I32" s="0" t="s">
        <v>33</v>
      </c>
      <c r="J32" s="0" t="n">
        <v>0</v>
      </c>
      <c r="K32" s="0" t="n">
        <v>1</v>
      </c>
      <c r="L32" s="0" t="n">
        <v>0</v>
      </c>
      <c r="M32" s="0" t="n">
        <v>1</v>
      </c>
      <c r="N32" s="0" t="n">
        <v>1</v>
      </c>
      <c r="O32" s="0" t="n">
        <v>0</v>
      </c>
      <c r="P32" s="0" t="n">
        <v>0</v>
      </c>
      <c r="Q32" s="0" t="s">
        <v>147</v>
      </c>
      <c r="R32" s="0" t="s">
        <v>52</v>
      </c>
      <c r="S32" s="0" t="n">
        <v>2</v>
      </c>
      <c r="T32" s="0" t="s">
        <v>411</v>
      </c>
      <c r="U32" s="0" t="n">
        <v>100</v>
      </c>
      <c r="V32" s="0" t="n">
        <v>3</v>
      </c>
      <c r="W32" s="0" t="s">
        <v>411</v>
      </c>
      <c r="X32" s="0" t="s">
        <v>276</v>
      </c>
      <c r="Y32" s="0" t="s">
        <v>412</v>
      </c>
      <c r="Z32" s="0" t="s">
        <v>430</v>
      </c>
      <c r="AA32" s="0" t="n">
        <v>62</v>
      </c>
      <c r="AB32" s="0" t="s">
        <v>414</v>
      </c>
      <c r="AC32" s="0" t="n">
        <v>0.833333333333333</v>
      </c>
      <c r="AD32" s="0" t="s">
        <v>427</v>
      </c>
      <c r="AE32" s="0" t="s">
        <v>433</v>
      </c>
      <c r="AF32" s="0" t="n">
        <v>35</v>
      </c>
      <c r="AG32" s="0" t="s">
        <v>417</v>
      </c>
      <c r="AH32" s="0" t="n">
        <v>7</v>
      </c>
      <c r="AI32" s="0" t="n">
        <v>93</v>
      </c>
      <c r="AL32" s="0" t="n">
        <v>-18.1478455</v>
      </c>
      <c r="AM32" s="0" t="n">
        <v>-65.4969803</v>
      </c>
      <c r="AN32" s="67" t="n">
        <v>201611011249</v>
      </c>
      <c r="AO32" s="67" t="n">
        <v>1072770009</v>
      </c>
      <c r="AP32" s="67" t="n">
        <v>837957</v>
      </c>
      <c r="AQ32" s="67" t="n">
        <v>8412404</v>
      </c>
      <c r="AR32" s="0" t="n">
        <v>0</v>
      </c>
    </row>
    <row r="33" customFormat="false" ht="15" hidden="false" customHeight="false" outlineLevel="0" collapsed="false">
      <c r="A33" s="0" t="n">
        <v>32</v>
      </c>
      <c r="B33" s="0" t="n">
        <v>44952</v>
      </c>
      <c r="C33" s="0" t="s">
        <v>157</v>
      </c>
      <c r="D33" s="0" t="s">
        <v>158</v>
      </c>
      <c r="E33" s="0" t="s">
        <v>409</v>
      </c>
      <c r="F33" s="0" t="n">
        <v>68</v>
      </c>
      <c r="G33" s="0" t="s">
        <v>410</v>
      </c>
      <c r="H33" s="0" t="n">
        <v>934506</v>
      </c>
      <c r="I33" s="0" t="s">
        <v>42</v>
      </c>
      <c r="J33" s="0" t="n">
        <v>0</v>
      </c>
      <c r="K33" s="0" t="n">
        <v>2</v>
      </c>
      <c r="L33" s="0" t="n">
        <v>1</v>
      </c>
      <c r="M33" s="0" t="n">
        <v>2</v>
      </c>
      <c r="N33" s="0" t="n">
        <v>2</v>
      </c>
      <c r="O33" s="0" t="n">
        <v>1</v>
      </c>
      <c r="P33" s="0" t="n">
        <v>0</v>
      </c>
      <c r="Q33" s="0" t="s">
        <v>147</v>
      </c>
      <c r="R33" s="0" t="s">
        <v>34</v>
      </c>
      <c r="S33" s="0" t="n">
        <v>5</v>
      </c>
      <c r="T33" s="0" t="s">
        <v>411</v>
      </c>
      <c r="U33" s="0" t="n">
        <v>300</v>
      </c>
      <c r="V33" s="0" t="n">
        <v>5</v>
      </c>
      <c r="W33" s="0" t="s">
        <v>411</v>
      </c>
      <c r="X33" s="0" t="s">
        <v>276</v>
      </c>
      <c r="Y33" s="0" t="s">
        <v>147</v>
      </c>
      <c r="Z33" s="0" t="s">
        <v>435</v>
      </c>
      <c r="AA33" s="0" t="n">
        <v>40</v>
      </c>
      <c r="AB33" s="0" t="s">
        <v>426</v>
      </c>
      <c r="AC33" s="0" t="n">
        <v>0.916666666666667</v>
      </c>
      <c r="AD33" s="0" t="s">
        <v>431</v>
      </c>
      <c r="AE33" s="0" t="s">
        <v>416</v>
      </c>
      <c r="AF33" s="0" t="n">
        <v>0</v>
      </c>
      <c r="AG33" s="0" t="s">
        <v>428</v>
      </c>
      <c r="AH33" s="0" t="n">
        <v>7</v>
      </c>
      <c r="AI33" s="0" t="n">
        <v>17</v>
      </c>
      <c r="AL33" s="0" t="n">
        <v>-18.1669678</v>
      </c>
      <c r="AM33" s="0" t="n">
        <v>-65.4661009</v>
      </c>
      <c r="AR33" s="0" t="n">
        <v>1</v>
      </c>
    </row>
    <row r="34" customFormat="false" ht="15" hidden="false" customHeight="false" outlineLevel="0" collapsed="false">
      <c r="A34" s="0" t="n">
        <v>27</v>
      </c>
      <c r="B34" s="0" t="n">
        <v>44952</v>
      </c>
      <c r="C34" s="0" t="s">
        <v>160</v>
      </c>
      <c r="D34" s="0" t="s">
        <v>161</v>
      </c>
      <c r="E34" s="0" t="s">
        <v>409</v>
      </c>
      <c r="F34" s="0" t="n">
        <v>45</v>
      </c>
      <c r="G34" s="0" t="s">
        <v>410</v>
      </c>
      <c r="H34" s="0" t="n">
        <v>8692324</v>
      </c>
      <c r="I34" s="0" t="s">
        <v>42</v>
      </c>
      <c r="J34" s="0" t="n">
        <v>0</v>
      </c>
      <c r="K34" s="0" t="n">
        <v>1</v>
      </c>
      <c r="L34" s="0" t="n">
        <v>3</v>
      </c>
      <c r="M34" s="0" t="n">
        <v>0</v>
      </c>
      <c r="N34" s="0" t="n">
        <v>1</v>
      </c>
      <c r="O34" s="0" t="n">
        <v>2</v>
      </c>
      <c r="P34" s="0" t="n">
        <v>0</v>
      </c>
      <c r="Q34" s="0" t="s">
        <v>147</v>
      </c>
      <c r="R34" s="0" t="s">
        <v>34</v>
      </c>
      <c r="S34" s="0" t="n">
        <v>4</v>
      </c>
      <c r="T34" s="0" t="s">
        <v>411</v>
      </c>
      <c r="U34" s="0" t="n">
        <v>300</v>
      </c>
      <c r="V34" s="0" t="n">
        <v>3</v>
      </c>
      <c r="W34" s="0" t="s">
        <v>423</v>
      </c>
      <c r="X34" s="0" t="s">
        <v>453</v>
      </c>
      <c r="Y34" s="0" t="s">
        <v>412</v>
      </c>
      <c r="Z34" s="0" t="s">
        <v>413</v>
      </c>
      <c r="AA34" s="0" t="n">
        <v>120</v>
      </c>
      <c r="AB34" s="0" t="s">
        <v>426</v>
      </c>
      <c r="AC34" s="0" t="n">
        <v>0.916666666666667</v>
      </c>
      <c r="AD34" s="0" t="s">
        <v>431</v>
      </c>
      <c r="AE34" s="0" t="s">
        <v>433</v>
      </c>
      <c r="AF34" s="0" t="n">
        <v>70</v>
      </c>
      <c r="AG34" s="0" t="s">
        <v>428</v>
      </c>
      <c r="AH34" s="0" t="n">
        <v>7</v>
      </c>
      <c r="AI34" s="0" t="n">
        <v>18</v>
      </c>
      <c r="AL34" s="0" t="n">
        <v>-18.1299598</v>
      </c>
      <c r="AM34" s="0" t="n">
        <v>-65.4127268</v>
      </c>
      <c r="AR34" s="0" t="n">
        <v>0</v>
      </c>
    </row>
    <row r="35" customFormat="false" ht="15" hidden="false" customHeight="false" outlineLevel="0" collapsed="false">
      <c r="A35" s="0" t="n">
        <v>67</v>
      </c>
      <c r="B35" s="0" t="n">
        <v>44951</v>
      </c>
      <c r="C35" s="0" t="s">
        <v>162</v>
      </c>
      <c r="D35" s="0" t="s">
        <v>163</v>
      </c>
      <c r="E35" s="0" t="s">
        <v>409</v>
      </c>
      <c r="F35" s="0" t="n">
        <v>52</v>
      </c>
      <c r="G35" s="0" t="s">
        <v>410</v>
      </c>
      <c r="H35" s="0" t="n">
        <v>6542116</v>
      </c>
      <c r="I35" s="0" t="s">
        <v>51</v>
      </c>
      <c r="J35" s="0" t="n">
        <v>1</v>
      </c>
      <c r="K35" s="0" t="n">
        <v>1</v>
      </c>
      <c r="L35" s="0" t="n">
        <v>3</v>
      </c>
      <c r="M35" s="0" t="n">
        <v>0</v>
      </c>
      <c r="N35" s="0" t="n">
        <v>1</v>
      </c>
      <c r="O35" s="0" t="n">
        <v>2</v>
      </c>
      <c r="P35" s="0" t="n">
        <v>0</v>
      </c>
      <c r="Q35" s="0" t="s">
        <v>147</v>
      </c>
      <c r="R35" s="0" t="s">
        <v>34</v>
      </c>
      <c r="S35" s="0" t="n">
        <v>5</v>
      </c>
      <c r="T35" s="0" t="s">
        <v>411</v>
      </c>
      <c r="U35" s="0" t="n">
        <v>200</v>
      </c>
      <c r="V35" s="0" t="n">
        <v>3</v>
      </c>
      <c r="W35" s="0" t="s">
        <v>423</v>
      </c>
      <c r="X35" s="0" t="s">
        <v>429</v>
      </c>
      <c r="Y35" s="0" t="s">
        <v>412</v>
      </c>
      <c r="Z35" s="0" t="s">
        <v>413</v>
      </c>
      <c r="AA35" s="0" t="n">
        <v>32</v>
      </c>
      <c r="AB35" s="0" t="s">
        <v>426</v>
      </c>
      <c r="AC35" s="0" t="n">
        <v>0.875</v>
      </c>
      <c r="AD35" s="0" t="s">
        <v>427</v>
      </c>
      <c r="AE35" s="0" t="s">
        <v>416</v>
      </c>
      <c r="AF35" s="0" t="n">
        <v>0</v>
      </c>
      <c r="AG35" s="0" t="s">
        <v>428</v>
      </c>
      <c r="AH35" s="0" t="n">
        <v>7</v>
      </c>
      <c r="AI35" s="0" t="n">
        <v>67</v>
      </c>
      <c r="AJ35" s="0" t="n">
        <v>1</v>
      </c>
      <c r="AL35" s="0" t="n">
        <v>-18.2330636</v>
      </c>
      <c r="AM35" s="0" t="n">
        <v>-65.3538752</v>
      </c>
      <c r="AN35" s="67" t="n">
        <v>201611011242</v>
      </c>
      <c r="AO35" s="67" t="n">
        <v>1072770181</v>
      </c>
      <c r="AP35" s="67" t="n">
        <v>837990</v>
      </c>
      <c r="AQ35" s="67" t="n">
        <v>8412438</v>
      </c>
      <c r="AR35" s="0" t="n">
        <v>0</v>
      </c>
    </row>
    <row r="36" customFormat="false" ht="15" hidden="false" customHeight="false" outlineLevel="0" collapsed="false">
      <c r="A36" s="0" t="n">
        <v>39</v>
      </c>
      <c r="B36" s="0" t="n">
        <v>44952</v>
      </c>
      <c r="C36" s="0" t="s">
        <v>165</v>
      </c>
      <c r="D36" s="0" t="s">
        <v>166</v>
      </c>
      <c r="E36" s="0" t="s">
        <v>409</v>
      </c>
      <c r="F36" s="0" t="n">
        <v>52</v>
      </c>
      <c r="G36" s="0" t="s">
        <v>410</v>
      </c>
      <c r="H36" s="0" t="n">
        <v>13660041</v>
      </c>
      <c r="I36" s="0" t="s">
        <v>42</v>
      </c>
      <c r="J36" s="0" t="n">
        <v>0</v>
      </c>
      <c r="K36" s="0" t="n">
        <v>4</v>
      </c>
      <c r="L36" s="0" t="n">
        <v>2</v>
      </c>
      <c r="M36" s="0" t="n">
        <v>0</v>
      </c>
      <c r="N36" s="0" t="n">
        <v>1</v>
      </c>
      <c r="O36" s="0" t="n">
        <v>1</v>
      </c>
      <c r="P36" s="0" t="n">
        <v>0</v>
      </c>
      <c r="Q36" s="0" t="s">
        <v>147</v>
      </c>
      <c r="R36" s="0" t="s">
        <v>76</v>
      </c>
      <c r="S36" s="0" t="n">
        <v>6</v>
      </c>
      <c r="T36" s="0" t="s">
        <v>411</v>
      </c>
      <c r="U36" s="0" t="n">
        <v>500</v>
      </c>
      <c r="V36" s="0" t="n">
        <v>3</v>
      </c>
      <c r="W36" s="0" t="s">
        <v>411</v>
      </c>
      <c r="X36" s="0" t="s">
        <v>276</v>
      </c>
      <c r="Y36" s="0" t="s">
        <v>412</v>
      </c>
      <c r="Z36" s="0" t="s">
        <v>413</v>
      </c>
      <c r="AA36" s="0" t="n">
        <v>40</v>
      </c>
      <c r="AB36" s="0" t="s">
        <v>414</v>
      </c>
      <c r="AC36" s="0" t="n">
        <v>0.916666666666667</v>
      </c>
      <c r="AD36" s="0" t="s">
        <v>187</v>
      </c>
      <c r="AE36" s="0" t="s">
        <v>416</v>
      </c>
      <c r="AF36" s="0" t="n">
        <v>0</v>
      </c>
      <c r="AG36" s="0" t="s">
        <v>428</v>
      </c>
      <c r="AH36" s="0" t="n">
        <v>7</v>
      </c>
      <c r="AI36" s="0" t="n">
        <v>19</v>
      </c>
      <c r="AL36" s="0" t="n">
        <v>-18.1481352</v>
      </c>
      <c r="AM36" s="0" t="n">
        <v>-65.4755018</v>
      </c>
      <c r="AR36" s="0" t="n">
        <v>0</v>
      </c>
    </row>
    <row r="37" customFormat="false" ht="15" hidden="false" customHeight="false" outlineLevel="0" collapsed="false">
      <c r="A37" s="0" t="n">
        <v>41</v>
      </c>
      <c r="B37" s="0" t="n">
        <v>44952</v>
      </c>
      <c r="C37" s="0" t="s">
        <v>168</v>
      </c>
      <c r="D37" s="0" t="s">
        <v>454</v>
      </c>
      <c r="E37" s="0" t="s">
        <v>419</v>
      </c>
      <c r="F37" s="0" t="n">
        <v>38</v>
      </c>
      <c r="G37" s="0" t="s">
        <v>420</v>
      </c>
      <c r="H37" s="0" t="n">
        <v>9365631</v>
      </c>
      <c r="I37" s="0" t="s">
        <v>42</v>
      </c>
      <c r="J37" s="0" t="n">
        <v>1</v>
      </c>
      <c r="K37" s="0" t="n">
        <v>3</v>
      </c>
      <c r="L37" s="0" t="n">
        <v>0</v>
      </c>
      <c r="M37" s="0" t="n">
        <v>2</v>
      </c>
      <c r="N37" s="0" t="n">
        <v>1</v>
      </c>
      <c r="O37" s="0" t="n">
        <v>1</v>
      </c>
      <c r="P37" s="0" t="n">
        <v>0</v>
      </c>
      <c r="Q37" s="0" t="s">
        <v>147</v>
      </c>
      <c r="R37" s="0" t="s">
        <v>76</v>
      </c>
      <c r="S37" s="0" t="n">
        <v>6</v>
      </c>
      <c r="T37" s="0" t="s">
        <v>411</v>
      </c>
      <c r="U37" s="0" t="n">
        <v>500</v>
      </c>
      <c r="V37" s="0" t="n">
        <v>3</v>
      </c>
      <c r="W37" s="0" t="s">
        <v>423</v>
      </c>
      <c r="X37" s="0" t="s">
        <v>455</v>
      </c>
      <c r="Y37" s="0" t="s">
        <v>412</v>
      </c>
      <c r="Z37" s="0" t="s">
        <v>430</v>
      </c>
      <c r="AA37" s="0" t="n">
        <v>34</v>
      </c>
      <c r="AB37" s="0" t="s">
        <v>414</v>
      </c>
      <c r="AC37" s="0" t="n">
        <v>0.875</v>
      </c>
      <c r="AD37" s="0" t="s">
        <v>431</v>
      </c>
      <c r="AE37" s="0" t="s">
        <v>433</v>
      </c>
      <c r="AF37" s="0" t="n">
        <v>35</v>
      </c>
      <c r="AG37" s="0" t="s">
        <v>417</v>
      </c>
      <c r="AH37" s="0" t="n">
        <v>1</v>
      </c>
      <c r="AI37" s="0" t="n">
        <v>20</v>
      </c>
      <c r="AL37" s="0" t="n">
        <v>-18.1551314</v>
      </c>
      <c r="AM37" s="0" t="n">
        <v>-65.4546288</v>
      </c>
      <c r="AR37" s="0" t="n">
        <v>0</v>
      </c>
    </row>
    <row r="38" customFormat="false" ht="15" hidden="false" customHeight="false" outlineLevel="0" collapsed="false">
      <c r="A38" s="0" t="n">
        <v>1</v>
      </c>
      <c r="B38" s="0" t="n">
        <v>44952</v>
      </c>
      <c r="C38" s="0" t="s">
        <v>170</v>
      </c>
      <c r="D38" s="0" t="s">
        <v>171</v>
      </c>
      <c r="E38" s="0" t="s">
        <v>409</v>
      </c>
      <c r="F38" s="0" t="n">
        <v>51</v>
      </c>
      <c r="G38" s="0" t="s">
        <v>410</v>
      </c>
      <c r="H38" s="0" t="n">
        <v>8750639</v>
      </c>
      <c r="I38" s="0" t="s">
        <v>42</v>
      </c>
      <c r="J38" s="0" t="n">
        <v>0</v>
      </c>
      <c r="K38" s="0" t="n">
        <v>3</v>
      </c>
      <c r="L38" s="0" t="n">
        <v>3</v>
      </c>
      <c r="M38" s="0" t="n">
        <v>0</v>
      </c>
      <c r="N38" s="0" t="n">
        <v>2</v>
      </c>
      <c r="O38" s="0" t="n">
        <v>1</v>
      </c>
      <c r="P38" s="0" t="n">
        <v>0</v>
      </c>
      <c r="Q38" s="0" t="s">
        <v>147</v>
      </c>
      <c r="R38" s="0" t="s">
        <v>34</v>
      </c>
      <c r="S38" s="0" t="n">
        <v>6</v>
      </c>
      <c r="T38" s="0" t="s">
        <v>411</v>
      </c>
      <c r="U38" s="0" t="n">
        <v>0</v>
      </c>
      <c r="V38" s="0" t="n">
        <v>3</v>
      </c>
      <c r="W38" s="0" t="s">
        <v>411</v>
      </c>
      <c r="X38" s="0" t="s">
        <v>276</v>
      </c>
      <c r="Y38" s="0" t="s">
        <v>412</v>
      </c>
      <c r="Z38" s="0" t="s">
        <v>421</v>
      </c>
      <c r="AA38" s="0" t="n">
        <v>104</v>
      </c>
      <c r="AB38" s="0" t="s">
        <v>426</v>
      </c>
      <c r="AC38" s="0" t="n">
        <v>0.916666666666667</v>
      </c>
      <c r="AD38" s="0" t="s">
        <v>431</v>
      </c>
      <c r="AE38" s="0" t="s">
        <v>416</v>
      </c>
      <c r="AF38" s="0" t="n">
        <v>0</v>
      </c>
      <c r="AG38" s="0" t="s">
        <v>428</v>
      </c>
      <c r="AH38" s="0" t="n">
        <v>14</v>
      </c>
      <c r="AI38" s="0" t="n">
        <v>21</v>
      </c>
      <c r="AL38" s="0" t="n">
        <v>-18.1689709</v>
      </c>
      <c r="AM38" s="0" t="n">
        <v>-65.4644003</v>
      </c>
      <c r="AR38" s="0" t="n">
        <v>0</v>
      </c>
    </row>
    <row r="39" customFormat="false" ht="15" hidden="false" customHeight="false" outlineLevel="0" collapsed="false">
      <c r="A39" s="0" t="n">
        <v>37</v>
      </c>
      <c r="B39" s="0" t="n">
        <v>44952</v>
      </c>
      <c r="C39" s="0" t="s">
        <v>170</v>
      </c>
      <c r="D39" s="0" t="s">
        <v>41</v>
      </c>
      <c r="E39" s="0" t="s">
        <v>409</v>
      </c>
      <c r="F39" s="0" t="n">
        <v>31</v>
      </c>
      <c r="G39" s="0" t="s">
        <v>410</v>
      </c>
      <c r="H39" s="0" t="n">
        <v>9365383</v>
      </c>
      <c r="I39" s="0" t="s">
        <v>42</v>
      </c>
      <c r="J39" s="0" t="n">
        <v>2</v>
      </c>
      <c r="K39" s="0" t="n">
        <v>0</v>
      </c>
      <c r="L39" s="0" t="n">
        <v>2</v>
      </c>
      <c r="M39" s="0" t="n">
        <v>0</v>
      </c>
      <c r="N39" s="0" t="n">
        <v>1</v>
      </c>
      <c r="O39" s="0" t="n">
        <v>1</v>
      </c>
      <c r="P39" s="0" t="n">
        <v>0</v>
      </c>
      <c r="Q39" s="0" t="s">
        <v>412</v>
      </c>
      <c r="R39" s="0" t="s">
        <v>65</v>
      </c>
      <c r="S39" s="0" t="n">
        <v>4</v>
      </c>
      <c r="T39" s="0" t="s">
        <v>411</v>
      </c>
      <c r="U39" s="0" t="n">
        <v>500</v>
      </c>
      <c r="V39" s="0" t="n">
        <v>2</v>
      </c>
      <c r="W39" s="0" t="s">
        <v>423</v>
      </c>
      <c r="X39" s="0" t="s">
        <v>424</v>
      </c>
      <c r="Y39" s="0" t="s">
        <v>412</v>
      </c>
      <c r="Z39" s="0" t="s">
        <v>430</v>
      </c>
      <c r="AA39" s="0" t="n">
        <v>20</v>
      </c>
      <c r="AB39" s="0" t="s">
        <v>414</v>
      </c>
      <c r="AC39" s="0" t="n">
        <v>0.916666666666667</v>
      </c>
      <c r="AD39" s="0" t="s">
        <v>431</v>
      </c>
      <c r="AE39" s="0" t="s">
        <v>433</v>
      </c>
      <c r="AF39" s="0" t="n">
        <v>35</v>
      </c>
      <c r="AG39" s="0" t="s">
        <v>428</v>
      </c>
      <c r="AH39" s="0" t="n">
        <v>7</v>
      </c>
      <c r="AI39" s="0" t="n">
        <v>22</v>
      </c>
      <c r="AL39" s="0" t="n">
        <v>-18.1566688</v>
      </c>
      <c r="AM39" s="0" t="n">
        <v>-65.4591767</v>
      </c>
      <c r="AR39" s="0" t="n">
        <v>1</v>
      </c>
    </row>
    <row r="40" s="71" customFormat="true" ht="15" hidden="false" customHeight="false" outlineLevel="0" collapsed="false">
      <c r="A40" s="46" t="n">
        <v>92</v>
      </c>
      <c r="B40" s="46" t="n">
        <v>44952</v>
      </c>
      <c r="C40" s="46" t="s">
        <v>173</v>
      </c>
      <c r="D40" s="46" t="s">
        <v>174</v>
      </c>
      <c r="E40" s="46" t="s">
        <v>419</v>
      </c>
      <c r="F40" s="46" t="n">
        <v>66</v>
      </c>
      <c r="G40" s="46" t="s">
        <v>420</v>
      </c>
      <c r="H40" s="46" t="n">
        <v>13386324</v>
      </c>
      <c r="I40" s="46" t="s">
        <v>33</v>
      </c>
      <c r="J40" s="46" t="n">
        <v>0</v>
      </c>
      <c r="K40" s="46" t="n">
        <v>1</v>
      </c>
      <c r="L40" s="46" t="n">
        <v>1</v>
      </c>
      <c r="M40" s="46" t="n">
        <v>1</v>
      </c>
      <c r="N40" s="46" t="n">
        <v>1</v>
      </c>
      <c r="O40" s="46" t="n">
        <v>1</v>
      </c>
      <c r="P40" s="46" t="n">
        <v>0</v>
      </c>
      <c r="Q40" s="46" t="s">
        <v>147</v>
      </c>
      <c r="R40" s="46" t="s">
        <v>65</v>
      </c>
      <c r="S40" s="46" t="n">
        <v>3</v>
      </c>
      <c r="T40" s="46" t="s">
        <v>411</v>
      </c>
      <c r="U40" s="46" t="n">
        <v>0</v>
      </c>
      <c r="V40" s="46" t="n">
        <v>2</v>
      </c>
      <c r="W40" s="46" t="s">
        <v>411</v>
      </c>
      <c r="X40" s="46" t="s">
        <v>276</v>
      </c>
      <c r="Y40" s="46" t="s">
        <v>412</v>
      </c>
      <c r="Z40" s="46" t="s">
        <v>430</v>
      </c>
      <c r="AA40" s="46" t="n">
        <v>92</v>
      </c>
      <c r="AB40" s="46" t="s">
        <v>426</v>
      </c>
      <c r="AC40" s="46" t="n">
        <v>0.916666666666667</v>
      </c>
      <c r="AD40" s="46" t="s">
        <v>427</v>
      </c>
      <c r="AE40" s="46" t="s">
        <v>433</v>
      </c>
      <c r="AF40" s="46" t="n">
        <v>35</v>
      </c>
      <c r="AG40" s="46" t="s">
        <v>417</v>
      </c>
      <c r="AH40" s="46" t="n">
        <v>7</v>
      </c>
      <c r="AI40" s="46" t="n">
        <v>94</v>
      </c>
      <c r="AJ40" s="46"/>
      <c r="AK40" s="72"/>
      <c r="AL40" s="46" t="n">
        <v>-18.1412514</v>
      </c>
      <c r="AM40" s="46" t="n">
        <v>-65.5051798</v>
      </c>
      <c r="AN40" s="73"/>
      <c r="AO40" s="73"/>
      <c r="AP40" s="73"/>
      <c r="AQ40" s="73"/>
      <c r="AR40" s="71" t="n">
        <v>0</v>
      </c>
      <c r="AS40" s="71" t="n">
        <v>0</v>
      </c>
      <c r="AT40" s="71" t="s">
        <v>456</v>
      </c>
    </row>
    <row r="41" customFormat="false" ht="15" hidden="false" customHeight="false" outlineLevel="0" collapsed="false">
      <c r="A41" s="0" t="n">
        <v>71</v>
      </c>
      <c r="B41" s="0" t="n">
        <v>44951</v>
      </c>
      <c r="C41" s="0" t="s">
        <v>177</v>
      </c>
      <c r="D41" s="0" t="s">
        <v>178</v>
      </c>
      <c r="E41" s="0" t="s">
        <v>409</v>
      </c>
      <c r="F41" s="0" t="n">
        <v>42</v>
      </c>
      <c r="G41" s="0" t="s">
        <v>410</v>
      </c>
      <c r="H41" s="0" t="n">
        <v>8744378</v>
      </c>
      <c r="I41" s="0" t="s">
        <v>51</v>
      </c>
      <c r="J41" s="0" t="n">
        <v>1</v>
      </c>
      <c r="K41" s="0" t="n">
        <v>3</v>
      </c>
      <c r="L41" s="0" t="n">
        <v>5</v>
      </c>
      <c r="M41" s="0" t="n">
        <v>0</v>
      </c>
      <c r="N41" s="0" t="n">
        <v>3</v>
      </c>
      <c r="O41" s="0" t="n">
        <v>2</v>
      </c>
      <c r="P41" s="0" t="n">
        <v>0</v>
      </c>
      <c r="Q41" s="0" t="s">
        <v>412</v>
      </c>
      <c r="R41" s="0" t="s">
        <v>60</v>
      </c>
      <c r="S41" s="0" t="n">
        <v>9</v>
      </c>
      <c r="T41" s="0" t="s">
        <v>411</v>
      </c>
      <c r="U41" s="0" t="n">
        <v>200</v>
      </c>
      <c r="V41" s="0" t="n">
        <v>2</v>
      </c>
      <c r="W41" s="0" t="s">
        <v>423</v>
      </c>
      <c r="X41" s="0" t="s">
        <v>439</v>
      </c>
      <c r="Y41" s="0" t="s">
        <v>412</v>
      </c>
      <c r="Z41" s="0" t="s">
        <v>430</v>
      </c>
      <c r="AA41" s="0" t="n">
        <v>210</v>
      </c>
      <c r="AB41" s="0" t="s">
        <v>426</v>
      </c>
      <c r="AC41" s="0" t="n">
        <v>0.916666666666667</v>
      </c>
      <c r="AD41" s="0" t="s">
        <v>448</v>
      </c>
      <c r="AE41" s="0" t="s">
        <v>416</v>
      </c>
      <c r="AF41" s="0" t="n">
        <v>0</v>
      </c>
      <c r="AG41" s="0" t="s">
        <v>428</v>
      </c>
      <c r="AH41" s="0" t="n">
        <v>14</v>
      </c>
      <c r="AI41" s="0" t="n">
        <v>68</v>
      </c>
      <c r="AL41" s="0" t="n">
        <v>-18.2478847</v>
      </c>
      <c r="AM41" s="0" t="n">
        <v>-65.3344861</v>
      </c>
      <c r="AN41" s="67" t="n">
        <v>201611011245</v>
      </c>
      <c r="AO41" s="67" t="n">
        <v>1072771336</v>
      </c>
      <c r="AP41" s="67" t="n">
        <v>837999</v>
      </c>
      <c r="AQ41" s="67" t="n">
        <v>8412430</v>
      </c>
      <c r="AR41" s="0" t="n">
        <v>0</v>
      </c>
      <c r="AS41" s="0" t="n">
        <v>0</v>
      </c>
    </row>
    <row r="42" customFormat="false" ht="15" hidden="false" customHeight="false" outlineLevel="0" collapsed="false">
      <c r="A42" s="0" t="n">
        <v>12</v>
      </c>
      <c r="B42" s="0" t="n">
        <v>44952</v>
      </c>
      <c r="C42" s="0" t="s">
        <v>180</v>
      </c>
      <c r="D42" s="0" t="s">
        <v>181</v>
      </c>
      <c r="E42" s="0" t="s">
        <v>409</v>
      </c>
      <c r="F42" s="0" t="n">
        <v>54</v>
      </c>
      <c r="G42" s="0" t="s">
        <v>410</v>
      </c>
      <c r="H42" s="0" t="n">
        <v>9365996</v>
      </c>
      <c r="I42" s="0" t="s">
        <v>42</v>
      </c>
      <c r="J42" s="0" t="n">
        <v>1</v>
      </c>
      <c r="K42" s="0" t="n">
        <v>1</v>
      </c>
      <c r="L42" s="0" t="n">
        <v>2</v>
      </c>
      <c r="M42" s="0" t="n">
        <v>0</v>
      </c>
      <c r="N42" s="0" t="n">
        <v>1</v>
      </c>
      <c r="O42" s="0" t="n">
        <v>1</v>
      </c>
      <c r="P42" s="0" t="n">
        <v>0</v>
      </c>
      <c r="Q42" s="0" t="s">
        <v>412</v>
      </c>
      <c r="R42" s="0" t="s">
        <v>65</v>
      </c>
      <c r="S42" s="0" t="n">
        <v>4</v>
      </c>
      <c r="T42" s="0" t="s">
        <v>411</v>
      </c>
      <c r="U42" s="0" t="n">
        <v>200</v>
      </c>
      <c r="V42" s="0" t="n">
        <v>4</v>
      </c>
      <c r="W42" s="0" t="s">
        <v>411</v>
      </c>
      <c r="X42" s="0" t="s">
        <v>276</v>
      </c>
      <c r="Y42" s="0" t="s">
        <v>412</v>
      </c>
      <c r="Z42" s="0" t="s">
        <v>430</v>
      </c>
      <c r="AB42" s="0" t="s">
        <v>437</v>
      </c>
      <c r="AC42" s="0" t="n">
        <v>0.875</v>
      </c>
      <c r="AD42" s="0" t="s">
        <v>431</v>
      </c>
      <c r="AE42" s="0" t="s">
        <v>416</v>
      </c>
      <c r="AF42" s="0" t="n">
        <v>0</v>
      </c>
      <c r="AG42" s="0" t="s">
        <v>428</v>
      </c>
      <c r="AH42" s="0" t="n">
        <v>7</v>
      </c>
      <c r="AI42" s="0" t="n">
        <v>23</v>
      </c>
      <c r="AJ42" s="0" t="n">
        <v>1</v>
      </c>
      <c r="AK42" s="2" t="s">
        <v>182</v>
      </c>
      <c r="AL42" s="0" t="n">
        <v>-18.1559042</v>
      </c>
      <c r="AM42" s="0" t="n">
        <v>-65.458997</v>
      </c>
      <c r="AR42" s="0" t="n">
        <v>0</v>
      </c>
    </row>
    <row r="43" customFormat="false" ht="15" hidden="false" customHeight="false" outlineLevel="0" collapsed="false">
      <c r="A43" s="0" t="n">
        <v>72</v>
      </c>
      <c r="B43" s="0" t="n">
        <v>44951</v>
      </c>
      <c r="C43" s="0" t="s">
        <v>184</v>
      </c>
      <c r="D43" s="0" t="s">
        <v>144</v>
      </c>
      <c r="E43" s="0" t="s">
        <v>409</v>
      </c>
      <c r="F43" s="0" t="n">
        <v>41</v>
      </c>
      <c r="G43" s="0" t="s">
        <v>410</v>
      </c>
      <c r="H43" s="0" t="n">
        <v>6527346</v>
      </c>
      <c r="I43" s="0" t="s">
        <v>51</v>
      </c>
      <c r="J43" s="0" t="n">
        <v>2</v>
      </c>
      <c r="K43" s="0" t="n">
        <v>3</v>
      </c>
      <c r="L43" s="0" t="n">
        <v>1</v>
      </c>
      <c r="M43" s="0" t="n">
        <v>1</v>
      </c>
      <c r="N43" s="0" t="n">
        <v>2</v>
      </c>
      <c r="O43" s="0" t="n">
        <v>0</v>
      </c>
      <c r="P43" s="0" t="n">
        <v>0</v>
      </c>
      <c r="Q43" s="0" t="s">
        <v>412</v>
      </c>
      <c r="R43" s="0" t="s">
        <v>76</v>
      </c>
      <c r="S43" s="0" t="n">
        <v>7</v>
      </c>
      <c r="T43" s="0" t="s">
        <v>411</v>
      </c>
      <c r="U43" s="0" t="n">
        <v>200</v>
      </c>
      <c r="V43" s="0" t="n">
        <v>3</v>
      </c>
      <c r="W43" s="0" t="s">
        <v>411</v>
      </c>
      <c r="X43" s="0" t="s">
        <v>276</v>
      </c>
      <c r="Y43" s="0" t="s">
        <v>412</v>
      </c>
      <c r="Z43" s="0" t="s">
        <v>430</v>
      </c>
      <c r="AA43" s="0" t="n">
        <v>47</v>
      </c>
      <c r="AB43" s="0" t="s">
        <v>414</v>
      </c>
      <c r="AC43" s="0" t="n">
        <v>0.916666666666667</v>
      </c>
      <c r="AD43" s="0" t="s">
        <v>415</v>
      </c>
      <c r="AE43" s="0" t="s">
        <v>416</v>
      </c>
      <c r="AF43" s="0" t="n">
        <v>0</v>
      </c>
      <c r="AG43" s="0" t="s">
        <v>428</v>
      </c>
      <c r="AH43" s="0" t="n">
        <v>7</v>
      </c>
      <c r="AI43" s="0" t="n">
        <v>69</v>
      </c>
      <c r="AJ43" s="0" t="n">
        <v>1</v>
      </c>
      <c r="AL43" s="0" t="n">
        <v>-18.2308452</v>
      </c>
      <c r="AM43" s="0" t="n">
        <v>-65.3459123</v>
      </c>
      <c r="AN43" s="67" t="n">
        <v>201611010367</v>
      </c>
      <c r="AO43" s="67" t="n">
        <v>1072770997</v>
      </c>
      <c r="AP43" s="67" t="n">
        <v>837951</v>
      </c>
      <c r="AQ43" s="67" t="n">
        <v>8412448</v>
      </c>
      <c r="AR43" s="0" t="n">
        <v>0</v>
      </c>
    </row>
    <row r="44" customFormat="false" ht="15" hidden="false" customHeight="false" outlineLevel="0" collapsed="false">
      <c r="A44" s="0" t="n">
        <v>50</v>
      </c>
      <c r="B44" s="0" t="n">
        <v>44952</v>
      </c>
      <c r="C44" s="0" t="s">
        <v>188</v>
      </c>
      <c r="D44" s="0" t="s">
        <v>190</v>
      </c>
      <c r="E44" s="0" t="s">
        <v>409</v>
      </c>
      <c r="F44" s="0" t="n">
        <v>47</v>
      </c>
      <c r="G44" s="0" t="s">
        <v>410</v>
      </c>
      <c r="H44" s="0" t="n">
        <v>8856801</v>
      </c>
      <c r="I44" s="0" t="s">
        <v>59</v>
      </c>
      <c r="J44" s="0" t="n">
        <v>0</v>
      </c>
      <c r="K44" s="0" t="n">
        <v>0</v>
      </c>
      <c r="L44" s="0" t="n">
        <v>3</v>
      </c>
      <c r="M44" s="0" t="n">
        <v>0</v>
      </c>
      <c r="N44" s="0" t="n">
        <v>1</v>
      </c>
      <c r="O44" s="0" t="n">
        <v>2</v>
      </c>
      <c r="P44" s="0" t="n">
        <v>0</v>
      </c>
      <c r="Q44" s="0" t="s">
        <v>412</v>
      </c>
      <c r="R44" s="0" t="s">
        <v>47</v>
      </c>
      <c r="S44" s="0" t="n">
        <v>3</v>
      </c>
      <c r="T44" s="0" t="s">
        <v>411</v>
      </c>
      <c r="U44" s="0" t="n">
        <v>200</v>
      </c>
      <c r="V44" s="0" t="n">
        <v>3</v>
      </c>
      <c r="W44" s="0" t="s">
        <v>411</v>
      </c>
      <c r="X44" s="0" t="s">
        <v>276</v>
      </c>
      <c r="Y44" s="0" t="s">
        <v>412</v>
      </c>
      <c r="Z44" s="0" t="s">
        <v>430</v>
      </c>
      <c r="AA44" s="0" t="n">
        <v>60</v>
      </c>
      <c r="AB44" s="0" t="s">
        <v>426</v>
      </c>
      <c r="AC44" s="0" t="n">
        <v>0.875</v>
      </c>
      <c r="AD44" s="0" t="s">
        <v>431</v>
      </c>
      <c r="AE44" s="0" t="s">
        <v>433</v>
      </c>
      <c r="AF44" s="0" t="n">
        <v>35</v>
      </c>
      <c r="AG44" s="0" t="s">
        <v>417</v>
      </c>
      <c r="AH44" s="0" t="n">
        <v>7</v>
      </c>
      <c r="AI44" s="0" t="n">
        <v>49</v>
      </c>
      <c r="AL44" s="0" t="n">
        <v>-18.1479468</v>
      </c>
      <c r="AM44" s="0" t="n">
        <v>-65.4422175</v>
      </c>
      <c r="AN44" s="67" t="n">
        <v>201611010106</v>
      </c>
      <c r="AO44" s="67" t="n">
        <v>1072771703</v>
      </c>
      <c r="AP44" s="67" t="n">
        <v>8372932</v>
      </c>
      <c r="AQ44" s="67" t="n">
        <v>8414266</v>
      </c>
      <c r="AR44" s="0" t="n">
        <v>0</v>
      </c>
    </row>
    <row r="45" customFormat="false" ht="15" hidden="false" customHeight="false" outlineLevel="0" collapsed="false">
      <c r="A45" s="0" t="n">
        <v>53</v>
      </c>
      <c r="B45" s="0" t="n">
        <v>44952</v>
      </c>
      <c r="C45" s="0" t="s">
        <v>188</v>
      </c>
      <c r="D45" s="0" t="s">
        <v>189</v>
      </c>
      <c r="E45" s="0" t="s">
        <v>409</v>
      </c>
      <c r="F45" s="0" t="n">
        <v>39</v>
      </c>
      <c r="G45" s="0" t="s">
        <v>410</v>
      </c>
      <c r="H45" s="0" t="n">
        <v>8857994</v>
      </c>
      <c r="I45" s="0" t="s">
        <v>59</v>
      </c>
      <c r="J45" s="0" t="n">
        <v>0</v>
      </c>
      <c r="K45" s="0" t="n">
        <v>0</v>
      </c>
      <c r="L45" s="0" t="n">
        <v>2</v>
      </c>
      <c r="M45" s="0" t="n">
        <v>0</v>
      </c>
      <c r="N45" s="0" t="n">
        <v>1</v>
      </c>
      <c r="O45" s="0" t="n">
        <v>1</v>
      </c>
      <c r="P45" s="0" t="n">
        <v>0</v>
      </c>
      <c r="Q45" s="0" t="s">
        <v>412</v>
      </c>
      <c r="R45" s="0" t="s">
        <v>125</v>
      </c>
      <c r="S45" s="0" t="n">
        <v>2</v>
      </c>
      <c r="T45" s="0" t="s">
        <v>411</v>
      </c>
      <c r="U45" s="0" t="n">
        <v>400</v>
      </c>
      <c r="V45" s="0" t="n">
        <v>3</v>
      </c>
      <c r="W45" s="0" t="s">
        <v>411</v>
      </c>
      <c r="X45" s="0" t="s">
        <v>276</v>
      </c>
      <c r="Y45" s="0" t="s">
        <v>412</v>
      </c>
      <c r="Z45" s="0" t="s">
        <v>430</v>
      </c>
      <c r="AA45" s="0" t="n">
        <v>150</v>
      </c>
      <c r="AB45" s="0" t="s">
        <v>426</v>
      </c>
      <c r="AC45" s="0" t="n">
        <v>0.875</v>
      </c>
      <c r="AD45" s="0" t="s">
        <v>431</v>
      </c>
      <c r="AE45" s="0" t="s">
        <v>416</v>
      </c>
      <c r="AF45" s="0" t="n">
        <v>0</v>
      </c>
      <c r="AG45" s="0" t="s">
        <v>428</v>
      </c>
      <c r="AH45" s="0" t="n">
        <v>7</v>
      </c>
      <c r="AI45" s="0" t="n">
        <v>48</v>
      </c>
      <c r="AL45" s="0" t="n">
        <v>-18.139559</v>
      </c>
      <c r="AM45" s="0" t="n">
        <v>-65.4578641</v>
      </c>
      <c r="AN45" s="67" t="n">
        <v>201611010543</v>
      </c>
      <c r="AO45" s="67" t="n">
        <v>1072771707</v>
      </c>
      <c r="AP45" s="67" t="n">
        <v>8372373</v>
      </c>
      <c r="AQ45" s="67" t="n">
        <v>8414267</v>
      </c>
      <c r="AR45" s="0" t="n">
        <v>0</v>
      </c>
    </row>
    <row r="46" customFormat="false" ht="15" hidden="false" customHeight="false" outlineLevel="0" collapsed="false">
      <c r="A46" s="0" t="n">
        <v>26</v>
      </c>
      <c r="B46" s="0" t="n">
        <v>44952</v>
      </c>
      <c r="C46" s="0" t="s">
        <v>193</v>
      </c>
      <c r="D46" s="0" t="s">
        <v>194</v>
      </c>
      <c r="E46" s="0" t="s">
        <v>409</v>
      </c>
      <c r="F46" s="0" t="n">
        <v>45</v>
      </c>
      <c r="G46" s="0" t="s">
        <v>410</v>
      </c>
      <c r="H46" s="0" t="n">
        <v>14190679</v>
      </c>
      <c r="I46" s="0" t="s">
        <v>42</v>
      </c>
      <c r="J46" s="0" t="n">
        <v>0</v>
      </c>
      <c r="K46" s="0" t="n">
        <v>2</v>
      </c>
      <c r="L46" s="0" t="n">
        <v>2</v>
      </c>
      <c r="M46" s="0" t="n">
        <v>0</v>
      </c>
      <c r="N46" s="0" t="n">
        <v>1</v>
      </c>
      <c r="O46" s="0" t="n">
        <v>1</v>
      </c>
      <c r="P46" s="0" t="n">
        <v>0</v>
      </c>
      <c r="Q46" s="0" t="s">
        <v>147</v>
      </c>
      <c r="R46" s="0" t="s">
        <v>65</v>
      </c>
      <c r="S46" s="0" t="n">
        <v>4</v>
      </c>
      <c r="T46" s="0" t="s">
        <v>411</v>
      </c>
      <c r="U46" s="0" t="n">
        <v>300</v>
      </c>
      <c r="V46" s="0" t="n">
        <v>3</v>
      </c>
      <c r="W46" s="0" t="s">
        <v>411</v>
      </c>
      <c r="X46" s="0" t="s">
        <v>276</v>
      </c>
      <c r="Y46" s="0" t="s">
        <v>412</v>
      </c>
      <c r="Z46" s="0" t="s">
        <v>413</v>
      </c>
      <c r="AA46" s="0" t="n">
        <v>16</v>
      </c>
      <c r="AB46" s="0" t="s">
        <v>414</v>
      </c>
      <c r="AC46" s="0" t="n">
        <v>0.916666666666667</v>
      </c>
      <c r="AD46" s="0" t="s">
        <v>431</v>
      </c>
      <c r="AE46" s="0" t="s">
        <v>416</v>
      </c>
      <c r="AF46" s="0" t="n">
        <v>0</v>
      </c>
      <c r="AG46" s="0" t="s">
        <v>428</v>
      </c>
      <c r="AH46" s="0" t="n">
        <v>7</v>
      </c>
      <c r="AI46" s="0" t="n">
        <v>24</v>
      </c>
      <c r="AL46" s="0" t="n">
        <v>-18.1555066</v>
      </c>
      <c r="AM46" s="0" t="n">
        <v>-65.4587583</v>
      </c>
      <c r="AR46" s="0" t="n">
        <v>0</v>
      </c>
      <c r="AS46" s="0" t="n">
        <v>0</v>
      </c>
    </row>
    <row r="47" customFormat="false" ht="15" hidden="false" customHeight="false" outlineLevel="0" collapsed="false">
      <c r="A47" s="0" t="n">
        <v>55</v>
      </c>
      <c r="B47" s="0" t="n">
        <v>44952</v>
      </c>
      <c r="C47" s="0" t="s">
        <v>196</v>
      </c>
      <c r="D47" s="0" t="s">
        <v>197</v>
      </c>
      <c r="E47" s="0" t="s">
        <v>419</v>
      </c>
      <c r="F47" s="0" t="n">
        <v>38</v>
      </c>
      <c r="G47" s="0" t="s">
        <v>420</v>
      </c>
      <c r="H47" s="0" t="n">
        <v>8750596</v>
      </c>
      <c r="I47" s="0" t="s">
        <v>92</v>
      </c>
      <c r="J47" s="0" t="n">
        <v>0</v>
      </c>
      <c r="K47" s="0" t="n">
        <v>3</v>
      </c>
      <c r="L47" s="0" t="n">
        <v>0</v>
      </c>
      <c r="M47" s="0" t="n">
        <v>0</v>
      </c>
      <c r="N47" s="0" t="n">
        <v>0</v>
      </c>
      <c r="O47" s="0" t="n">
        <v>0</v>
      </c>
      <c r="P47" s="0" t="n">
        <v>0</v>
      </c>
      <c r="Q47" s="0" t="s">
        <v>412</v>
      </c>
      <c r="R47" s="0" t="s">
        <v>52</v>
      </c>
      <c r="S47" s="0" t="n">
        <v>3</v>
      </c>
      <c r="T47" s="0" t="s">
        <v>411</v>
      </c>
      <c r="U47" s="0" t="n">
        <v>0</v>
      </c>
      <c r="V47" s="0" t="n">
        <v>4</v>
      </c>
      <c r="W47" s="0" t="s">
        <v>411</v>
      </c>
      <c r="X47" s="0" t="s">
        <v>276</v>
      </c>
      <c r="Y47" s="0" t="s">
        <v>412</v>
      </c>
      <c r="Z47" s="0" t="s">
        <v>413</v>
      </c>
      <c r="AA47" s="0" t="n">
        <v>32</v>
      </c>
      <c r="AB47" s="0" t="s">
        <v>414</v>
      </c>
      <c r="AC47" s="0" t="n">
        <v>0.916666666666667</v>
      </c>
      <c r="AD47" s="0" t="s">
        <v>415</v>
      </c>
      <c r="AE47" s="0" t="s">
        <v>416</v>
      </c>
      <c r="AF47" s="0" t="n">
        <v>0</v>
      </c>
      <c r="AG47" s="0" t="s">
        <v>428</v>
      </c>
      <c r="AH47" s="0" t="n">
        <v>7</v>
      </c>
      <c r="AI47" s="0" t="n">
        <v>56</v>
      </c>
      <c r="AL47" s="0" t="n">
        <v>-18.1469249</v>
      </c>
      <c r="AM47" s="0" t="n">
        <v>-65.4042943</v>
      </c>
      <c r="AN47" s="67" t="n">
        <v>201611010784</v>
      </c>
      <c r="AO47" s="67" t="n">
        <v>1072771590</v>
      </c>
      <c r="AP47" s="67" t="n">
        <v>837982</v>
      </c>
      <c r="AQ47" s="67" t="n">
        <v>8412444</v>
      </c>
      <c r="AR47" s="0" t="n">
        <v>1</v>
      </c>
    </row>
    <row r="48" customFormat="false" ht="15" hidden="false" customHeight="false" outlineLevel="0" collapsed="false">
      <c r="A48" s="71" t="n">
        <v>36</v>
      </c>
      <c r="B48" s="71" t="n">
        <v>44952</v>
      </c>
      <c r="C48" s="71" t="s">
        <v>198</v>
      </c>
      <c r="D48" s="71" t="s">
        <v>199</v>
      </c>
      <c r="E48" s="71" t="s">
        <v>419</v>
      </c>
      <c r="F48" s="71" t="s">
        <v>43</v>
      </c>
      <c r="G48" s="71" t="s">
        <v>43</v>
      </c>
      <c r="H48" s="71" t="s">
        <v>43</v>
      </c>
      <c r="I48" s="71" t="s">
        <v>42</v>
      </c>
      <c r="J48" s="71" t="n">
        <v>0</v>
      </c>
      <c r="K48" s="71" t="n">
        <v>1</v>
      </c>
      <c r="L48" s="71" t="n">
        <v>2</v>
      </c>
      <c r="M48" s="71" t="n">
        <v>0</v>
      </c>
      <c r="N48" s="71" t="n">
        <v>1</v>
      </c>
      <c r="O48" s="71" t="n">
        <v>1</v>
      </c>
      <c r="P48" s="71" t="n">
        <v>0</v>
      </c>
      <c r="Q48" s="71" t="s">
        <v>147</v>
      </c>
      <c r="R48" s="71" t="s">
        <v>65</v>
      </c>
      <c r="S48" s="71" t="n">
        <v>3</v>
      </c>
      <c r="T48" s="71" t="s">
        <v>411</v>
      </c>
      <c r="U48" s="71" t="n">
        <v>500</v>
      </c>
      <c r="V48" s="71" t="n">
        <v>4</v>
      </c>
      <c r="W48" s="71" t="s">
        <v>411</v>
      </c>
      <c r="X48" s="71" t="s">
        <v>276</v>
      </c>
      <c r="Y48" s="71" t="s">
        <v>412</v>
      </c>
      <c r="Z48" s="71" t="s">
        <v>413</v>
      </c>
      <c r="AA48" s="71" t="n">
        <v>24</v>
      </c>
      <c r="AB48" s="71" t="s">
        <v>414</v>
      </c>
      <c r="AC48" s="71" t="n">
        <v>0.916666666666667</v>
      </c>
      <c r="AD48" s="71" t="s">
        <v>431</v>
      </c>
      <c r="AE48" s="71" t="s">
        <v>433</v>
      </c>
      <c r="AF48" s="71" t="n">
        <v>70</v>
      </c>
      <c r="AG48" s="71" t="s">
        <v>428</v>
      </c>
      <c r="AH48" s="71" t="n">
        <v>7</v>
      </c>
      <c r="AI48" s="71" t="n">
        <v>25</v>
      </c>
      <c r="AJ48" s="71" t="n">
        <v>1</v>
      </c>
      <c r="AK48" s="74" t="s">
        <v>317</v>
      </c>
      <c r="AL48" s="71" t="n">
        <v>-18.1496102</v>
      </c>
      <c r="AM48" s="71" t="n">
        <v>-65.4724785</v>
      </c>
      <c r="AN48" s="75"/>
      <c r="AO48" s="75"/>
      <c r="AP48" s="75"/>
      <c r="AQ48" s="75"/>
      <c r="AR48" s="0" t="n">
        <v>0</v>
      </c>
    </row>
    <row r="49" customFormat="false" ht="15" hidden="false" customHeight="false" outlineLevel="0" collapsed="false">
      <c r="A49" s="0" t="n">
        <v>21</v>
      </c>
      <c r="B49" s="0" t="n">
        <v>44952</v>
      </c>
      <c r="C49" s="0" t="s">
        <v>200</v>
      </c>
      <c r="D49" s="0" t="s">
        <v>201</v>
      </c>
      <c r="E49" s="0" t="s">
        <v>409</v>
      </c>
      <c r="F49" s="0" t="n">
        <v>55</v>
      </c>
      <c r="G49" s="0" t="s">
        <v>410</v>
      </c>
      <c r="H49" s="0" t="n">
        <v>9365679</v>
      </c>
      <c r="I49" s="0" t="s">
        <v>42</v>
      </c>
      <c r="J49" s="0" t="n">
        <v>0</v>
      </c>
      <c r="K49" s="0" t="n">
        <v>4</v>
      </c>
      <c r="L49" s="0" t="n">
        <v>0</v>
      </c>
      <c r="M49" s="0" t="n">
        <v>2</v>
      </c>
      <c r="N49" s="0" t="n">
        <v>1</v>
      </c>
      <c r="O49" s="0" t="n">
        <v>1</v>
      </c>
      <c r="P49" s="0" t="n">
        <v>0</v>
      </c>
      <c r="Q49" s="0" t="s">
        <v>147</v>
      </c>
      <c r="R49" s="0" t="s">
        <v>76</v>
      </c>
      <c r="S49" s="0" t="n">
        <v>6</v>
      </c>
      <c r="T49" s="0" t="s">
        <v>411</v>
      </c>
      <c r="U49" s="0" t="n">
        <v>200</v>
      </c>
      <c r="V49" s="0" t="n">
        <v>4</v>
      </c>
      <c r="W49" s="0" t="s">
        <v>411</v>
      </c>
      <c r="X49" s="0" t="s">
        <v>276</v>
      </c>
      <c r="Y49" s="0" t="s">
        <v>412</v>
      </c>
      <c r="Z49" s="0" t="s">
        <v>413</v>
      </c>
      <c r="AA49" s="0" t="n">
        <v>24</v>
      </c>
      <c r="AB49" s="0" t="s">
        <v>414</v>
      </c>
      <c r="AC49" s="0" t="n">
        <v>0.916666666666667</v>
      </c>
      <c r="AD49" s="0" t="s">
        <v>431</v>
      </c>
      <c r="AE49" s="0" t="s">
        <v>416</v>
      </c>
      <c r="AF49" s="0" t="n">
        <v>0</v>
      </c>
      <c r="AG49" s="0" t="s">
        <v>428</v>
      </c>
      <c r="AH49" s="0" t="n">
        <v>7</v>
      </c>
      <c r="AI49" s="0" t="n">
        <v>26</v>
      </c>
      <c r="AJ49" s="0" t="n">
        <v>0</v>
      </c>
      <c r="AK49" s="2" t="n">
        <v>0</v>
      </c>
      <c r="AL49" s="0" t="n">
        <v>-18.147409</v>
      </c>
      <c r="AM49" s="0" t="n">
        <v>-65.4836327</v>
      </c>
      <c r="AR49" s="0" t="n">
        <v>0</v>
      </c>
    </row>
    <row r="50" customFormat="false" ht="15" hidden="false" customHeight="false" outlineLevel="0" collapsed="false">
      <c r="A50" s="0" t="n">
        <v>49</v>
      </c>
      <c r="B50" s="0" t="n">
        <v>44952</v>
      </c>
      <c r="C50" s="0" t="s">
        <v>205</v>
      </c>
      <c r="D50" s="0" t="s">
        <v>206</v>
      </c>
      <c r="E50" s="0" t="s">
        <v>409</v>
      </c>
      <c r="F50" s="0" t="n">
        <v>63</v>
      </c>
      <c r="G50" s="0" t="s">
        <v>410</v>
      </c>
      <c r="H50" s="0" t="n">
        <v>9497093</v>
      </c>
      <c r="I50" s="0" t="s">
        <v>59</v>
      </c>
      <c r="J50" s="0" t="n">
        <v>0</v>
      </c>
      <c r="K50" s="0" t="n">
        <v>0</v>
      </c>
      <c r="L50" s="0" t="n">
        <v>0</v>
      </c>
      <c r="M50" s="0" t="n">
        <v>2</v>
      </c>
      <c r="N50" s="0" t="n">
        <v>1</v>
      </c>
      <c r="O50" s="0" t="n">
        <v>1</v>
      </c>
      <c r="P50" s="0" t="n">
        <v>0</v>
      </c>
      <c r="Q50" s="0" t="s">
        <v>412</v>
      </c>
      <c r="R50" s="0" t="s">
        <v>125</v>
      </c>
      <c r="S50" s="0" t="n">
        <v>2</v>
      </c>
      <c r="T50" s="0" t="s">
        <v>411</v>
      </c>
      <c r="U50" s="0" t="n">
        <v>100</v>
      </c>
      <c r="V50" s="0" t="n">
        <v>4</v>
      </c>
      <c r="W50" s="0" t="s">
        <v>411</v>
      </c>
      <c r="X50" s="0" t="s">
        <v>276</v>
      </c>
      <c r="Y50" s="0" t="s">
        <v>412</v>
      </c>
      <c r="Z50" s="0" t="s">
        <v>430</v>
      </c>
      <c r="AA50" s="0" t="n">
        <v>62</v>
      </c>
      <c r="AB50" s="0" t="s">
        <v>414</v>
      </c>
      <c r="AC50" s="0" t="n">
        <v>0.916666666666667</v>
      </c>
      <c r="AD50" s="0" t="s">
        <v>431</v>
      </c>
      <c r="AE50" s="0" t="s">
        <v>433</v>
      </c>
      <c r="AF50" s="0" t="n">
        <v>35</v>
      </c>
      <c r="AG50" s="0" t="s">
        <v>417</v>
      </c>
      <c r="AH50" s="0" t="n">
        <v>7</v>
      </c>
      <c r="AI50" s="0" t="n">
        <v>50</v>
      </c>
      <c r="AL50" s="0" t="n">
        <v>-18.1364078</v>
      </c>
      <c r="AM50" s="0" t="n">
        <v>-65.4634703</v>
      </c>
      <c r="AN50" s="67" t="n">
        <v>201611010038</v>
      </c>
      <c r="AO50" s="67" t="n">
        <v>1072771709</v>
      </c>
      <c r="AP50" s="67" t="n">
        <v>8372943</v>
      </c>
      <c r="AQ50" s="67" t="n">
        <v>8414251</v>
      </c>
      <c r="AR50" s="0" t="n">
        <v>1</v>
      </c>
    </row>
    <row r="51" customFormat="false" ht="15" hidden="false" customHeight="false" outlineLevel="0" collapsed="false">
      <c r="A51" s="0" t="n">
        <v>61</v>
      </c>
      <c r="B51" s="0" t="n">
        <v>44951</v>
      </c>
      <c r="C51" s="0" t="s">
        <v>208</v>
      </c>
      <c r="D51" s="0" t="s">
        <v>210</v>
      </c>
      <c r="E51" s="0" t="s">
        <v>409</v>
      </c>
      <c r="F51" s="0" t="n">
        <v>45</v>
      </c>
      <c r="G51" s="0" t="s">
        <v>410</v>
      </c>
      <c r="H51" s="0" t="n">
        <v>12972490</v>
      </c>
      <c r="I51" s="0" t="s">
        <v>51</v>
      </c>
      <c r="J51" s="0" t="n">
        <v>0</v>
      </c>
      <c r="K51" s="0" t="n">
        <v>3</v>
      </c>
      <c r="L51" s="0" t="n">
        <v>1</v>
      </c>
      <c r="M51" s="0" t="n">
        <v>0</v>
      </c>
      <c r="N51" s="0" t="n">
        <v>1</v>
      </c>
      <c r="O51" s="0" t="n">
        <v>0</v>
      </c>
      <c r="P51" s="0" t="n">
        <v>0</v>
      </c>
      <c r="Q51" s="0" t="s">
        <v>412</v>
      </c>
      <c r="R51" s="0" t="s">
        <v>52</v>
      </c>
      <c r="S51" s="0" t="n">
        <v>4</v>
      </c>
      <c r="T51" s="0" t="s">
        <v>411</v>
      </c>
      <c r="U51" s="0" t="n">
        <v>100</v>
      </c>
      <c r="V51" s="0" t="n">
        <v>3</v>
      </c>
      <c r="W51" s="0" t="s">
        <v>411</v>
      </c>
      <c r="X51" s="0" t="s">
        <v>276</v>
      </c>
      <c r="Y51" s="0" t="s">
        <v>457</v>
      </c>
      <c r="Z51" s="0" t="s">
        <v>458</v>
      </c>
      <c r="AA51" s="0" t="n">
        <v>46</v>
      </c>
      <c r="AB51" s="0" t="s">
        <v>426</v>
      </c>
      <c r="AC51" s="0" t="n">
        <v>0.833333333333333</v>
      </c>
      <c r="AD51" s="0" t="s">
        <v>427</v>
      </c>
      <c r="AE51" s="0" t="s">
        <v>416</v>
      </c>
      <c r="AF51" s="0" t="n">
        <v>0</v>
      </c>
      <c r="AG51" s="0" t="s">
        <v>428</v>
      </c>
      <c r="AH51" s="0" t="n">
        <v>7</v>
      </c>
      <c r="AI51" s="0" t="n">
        <v>70</v>
      </c>
      <c r="AL51" s="0" t="n">
        <v>-18.2307028</v>
      </c>
      <c r="AM51" s="0" t="n">
        <v>-65.3470708</v>
      </c>
      <c r="AN51" s="67" t="n">
        <v>201611011935</v>
      </c>
      <c r="AO51" s="67" t="n">
        <v>1072771340</v>
      </c>
      <c r="AP51" s="67" t="n">
        <v>837980</v>
      </c>
      <c r="AQ51" s="67" t="n">
        <v>8412407</v>
      </c>
      <c r="AR51" s="0" t="n">
        <v>0</v>
      </c>
      <c r="AS51" s="0" t="n">
        <v>1</v>
      </c>
    </row>
    <row r="52" customFormat="false" ht="15" hidden="false" customHeight="false" outlineLevel="0" collapsed="false">
      <c r="A52" s="0" t="n">
        <v>56</v>
      </c>
      <c r="B52" s="0" t="n">
        <v>44952</v>
      </c>
      <c r="C52" s="0" t="s">
        <v>208</v>
      </c>
      <c r="D52" s="0" t="s">
        <v>209</v>
      </c>
      <c r="E52" s="0" t="s">
        <v>409</v>
      </c>
      <c r="F52" s="0" t="n">
        <v>57</v>
      </c>
      <c r="G52" s="0" t="s">
        <v>410</v>
      </c>
      <c r="H52" s="0" t="n">
        <v>8750624</v>
      </c>
      <c r="I52" s="0" t="s">
        <v>92</v>
      </c>
      <c r="J52" s="0" t="n">
        <v>0</v>
      </c>
      <c r="K52" s="0" t="n">
        <v>1</v>
      </c>
      <c r="L52" s="0" t="n">
        <v>1</v>
      </c>
      <c r="M52" s="0" t="n">
        <v>1</v>
      </c>
      <c r="N52" s="0" t="n">
        <v>1</v>
      </c>
      <c r="O52" s="0" t="n">
        <v>1</v>
      </c>
      <c r="P52" s="0" t="n">
        <v>0</v>
      </c>
      <c r="Q52" s="0" t="s">
        <v>412</v>
      </c>
      <c r="R52" s="0" t="s">
        <v>65</v>
      </c>
      <c r="S52" s="0" t="n">
        <v>3</v>
      </c>
      <c r="T52" s="0" t="s">
        <v>411</v>
      </c>
      <c r="U52" s="0" t="n">
        <v>200</v>
      </c>
      <c r="V52" s="0" t="n">
        <v>4</v>
      </c>
      <c r="W52" s="0" t="s">
        <v>423</v>
      </c>
      <c r="X52" s="0" t="s">
        <v>429</v>
      </c>
      <c r="Y52" s="0" t="s">
        <v>147</v>
      </c>
      <c r="Z52" s="0" t="s">
        <v>441</v>
      </c>
      <c r="AA52" s="0" t="n">
        <v>0</v>
      </c>
      <c r="AB52" s="0" t="s">
        <v>426</v>
      </c>
      <c r="AC52" s="0" t="n">
        <v>0.916666666666667</v>
      </c>
      <c r="AD52" s="0" t="s">
        <v>415</v>
      </c>
      <c r="AE52" s="0" t="s">
        <v>432</v>
      </c>
      <c r="AF52" s="0" t="n">
        <v>0</v>
      </c>
      <c r="AG52" s="0" t="s">
        <v>417</v>
      </c>
      <c r="AH52" s="0" t="n">
        <v>7</v>
      </c>
      <c r="AI52" s="0" t="n">
        <v>57</v>
      </c>
      <c r="AL52" s="0" t="n">
        <v>-18.1458965</v>
      </c>
      <c r="AM52" s="0" t="n">
        <v>-65.4040057</v>
      </c>
      <c r="AN52" s="67" t="n">
        <v>201611010631</v>
      </c>
      <c r="AO52" s="67" t="n">
        <v>1072771180</v>
      </c>
      <c r="AP52" s="67" t="n">
        <v>837998</v>
      </c>
      <c r="AQ52" s="67" t="n">
        <v>8412435</v>
      </c>
      <c r="AR52" s="0" t="n">
        <v>1</v>
      </c>
      <c r="AS52" s="0" t="n">
        <v>1</v>
      </c>
    </row>
    <row r="53" customFormat="false" ht="15" hidden="false" customHeight="false" outlineLevel="0" collapsed="false">
      <c r="A53" s="0" t="n">
        <v>75</v>
      </c>
      <c r="B53" s="0" t="n">
        <v>44951</v>
      </c>
      <c r="C53" s="0" t="s">
        <v>211</v>
      </c>
      <c r="D53" s="0" t="s">
        <v>212</v>
      </c>
      <c r="E53" s="0" t="s">
        <v>409</v>
      </c>
      <c r="F53" s="0" t="n">
        <v>28</v>
      </c>
      <c r="G53" s="0" t="s">
        <v>410</v>
      </c>
      <c r="H53" s="0" t="n">
        <v>13195049</v>
      </c>
      <c r="I53" s="0" t="s">
        <v>51</v>
      </c>
      <c r="J53" s="0" t="n">
        <v>1</v>
      </c>
      <c r="K53" s="0" t="n">
        <v>4</v>
      </c>
      <c r="L53" s="0" t="n">
        <v>3</v>
      </c>
      <c r="M53" s="0" t="n">
        <v>0</v>
      </c>
      <c r="N53" s="0" t="n">
        <v>2</v>
      </c>
      <c r="O53" s="0" t="n">
        <v>1</v>
      </c>
      <c r="P53" s="0" t="n">
        <v>0</v>
      </c>
      <c r="Q53" s="0" t="s">
        <v>147</v>
      </c>
      <c r="R53" s="0" t="s">
        <v>60</v>
      </c>
      <c r="S53" s="0" t="n">
        <v>8</v>
      </c>
      <c r="T53" s="0" t="s">
        <v>411</v>
      </c>
      <c r="U53" s="0" t="n">
        <v>300</v>
      </c>
      <c r="V53" s="0" t="n">
        <v>2</v>
      </c>
      <c r="W53" s="0" t="s">
        <v>423</v>
      </c>
      <c r="X53" s="0" t="s">
        <v>429</v>
      </c>
      <c r="Y53" s="0" t="s">
        <v>412</v>
      </c>
      <c r="Z53" s="0" t="s">
        <v>425</v>
      </c>
      <c r="AA53" s="0" t="n">
        <v>84</v>
      </c>
      <c r="AB53" s="0" t="s">
        <v>426</v>
      </c>
      <c r="AC53" s="0" t="n">
        <v>0.791666666666667</v>
      </c>
      <c r="AD53" s="0" t="s">
        <v>427</v>
      </c>
      <c r="AE53" s="0" t="s">
        <v>416</v>
      </c>
      <c r="AF53" s="0" t="n">
        <v>0</v>
      </c>
      <c r="AG53" s="0" t="s">
        <v>428</v>
      </c>
      <c r="AH53" s="0" t="n">
        <v>7</v>
      </c>
      <c r="AI53" s="0" t="n">
        <v>71</v>
      </c>
      <c r="AL53" s="0" t="n">
        <v>-18.2387738</v>
      </c>
      <c r="AM53" s="0" t="n">
        <v>-65.3443393</v>
      </c>
      <c r="AN53" s="67" t="n">
        <v>201611010192</v>
      </c>
      <c r="AO53" s="67" t="n">
        <v>1072770260</v>
      </c>
      <c r="AP53" s="67" t="n">
        <v>837955</v>
      </c>
      <c r="AQ53" s="67" t="n">
        <v>8412441</v>
      </c>
      <c r="AR53" s="0" t="n">
        <v>0</v>
      </c>
    </row>
    <row r="54" customFormat="false" ht="15" hidden="false" customHeight="false" outlineLevel="0" collapsed="false">
      <c r="A54" s="0" t="n">
        <v>59</v>
      </c>
      <c r="B54" s="0" t="n">
        <v>44951</v>
      </c>
      <c r="C54" s="0" t="s">
        <v>216</v>
      </c>
      <c r="D54" s="0" t="s">
        <v>131</v>
      </c>
      <c r="E54" s="0" t="s">
        <v>409</v>
      </c>
      <c r="F54" s="0" t="n">
        <v>42</v>
      </c>
      <c r="G54" s="0" t="s">
        <v>410</v>
      </c>
      <c r="H54" s="0" t="n">
        <v>12778372</v>
      </c>
      <c r="I54" s="0" t="s">
        <v>51</v>
      </c>
      <c r="J54" s="0" t="n">
        <v>1</v>
      </c>
      <c r="K54" s="0" t="n">
        <v>1</v>
      </c>
      <c r="L54" s="0" t="n">
        <v>3</v>
      </c>
      <c r="M54" s="0" t="n">
        <v>0</v>
      </c>
      <c r="N54" s="0" t="n">
        <v>1</v>
      </c>
      <c r="O54" s="0" t="n">
        <v>2</v>
      </c>
      <c r="P54" s="0" t="n">
        <v>0</v>
      </c>
      <c r="Q54" s="0" t="s">
        <v>147</v>
      </c>
      <c r="R54" s="0" t="s">
        <v>34</v>
      </c>
      <c r="S54" s="0" t="n">
        <v>5</v>
      </c>
      <c r="T54" s="0" t="s">
        <v>411</v>
      </c>
      <c r="U54" s="0" t="n">
        <v>0</v>
      </c>
      <c r="V54" s="0" t="n">
        <v>2</v>
      </c>
      <c r="W54" s="0" t="s">
        <v>423</v>
      </c>
      <c r="X54" s="0" t="s">
        <v>429</v>
      </c>
      <c r="Y54" s="0" t="s">
        <v>412</v>
      </c>
      <c r="Z54" s="0" t="s">
        <v>430</v>
      </c>
      <c r="AA54" s="0" t="n">
        <v>118</v>
      </c>
      <c r="AB54" s="0" t="s">
        <v>426</v>
      </c>
      <c r="AC54" s="0" t="n">
        <v>0.875</v>
      </c>
      <c r="AD54" s="0" t="s">
        <v>427</v>
      </c>
      <c r="AE54" s="0" t="s">
        <v>433</v>
      </c>
      <c r="AF54" s="0" t="n">
        <v>35</v>
      </c>
      <c r="AG54" s="0" t="s">
        <v>428</v>
      </c>
      <c r="AH54" s="0" t="n">
        <v>7</v>
      </c>
      <c r="AI54" s="0" t="n">
        <v>72</v>
      </c>
      <c r="AJ54" s="0" t="n">
        <v>1</v>
      </c>
      <c r="AK54" s="2" t="s">
        <v>217</v>
      </c>
      <c r="AL54" s="0" t="n">
        <v>-18.2364929</v>
      </c>
      <c r="AM54" s="0" t="n">
        <v>-65.3430108</v>
      </c>
      <c r="AN54" s="67" t="n">
        <v>201611011934</v>
      </c>
      <c r="AO54" s="67" t="n">
        <v>1072770257</v>
      </c>
      <c r="AP54" s="67" t="n">
        <v>8371000</v>
      </c>
      <c r="AQ54" s="67" t="n">
        <v>8412420</v>
      </c>
      <c r="AR54" s="0" t="n">
        <v>0</v>
      </c>
    </row>
    <row r="55" customFormat="false" ht="15" hidden="false" customHeight="false" outlineLevel="0" collapsed="false">
      <c r="A55" s="0" t="n">
        <v>96</v>
      </c>
      <c r="B55" s="0" t="n">
        <v>44952</v>
      </c>
      <c r="C55" s="0" t="s">
        <v>216</v>
      </c>
      <c r="D55" s="0" t="s">
        <v>224</v>
      </c>
      <c r="E55" s="0" t="s">
        <v>409</v>
      </c>
      <c r="F55" s="0" t="n">
        <v>44</v>
      </c>
      <c r="G55" s="0" t="s">
        <v>410</v>
      </c>
      <c r="H55" s="0" t="n">
        <v>8840489</v>
      </c>
      <c r="I55" s="0" t="s">
        <v>33</v>
      </c>
      <c r="J55" s="0" t="n">
        <v>0</v>
      </c>
      <c r="K55" s="0" t="n">
        <v>1</v>
      </c>
      <c r="L55" s="0" t="n">
        <v>2</v>
      </c>
      <c r="M55" s="0" t="n">
        <v>1</v>
      </c>
      <c r="N55" s="0" t="n">
        <v>1</v>
      </c>
      <c r="O55" s="0" t="n">
        <v>1</v>
      </c>
      <c r="P55" s="0" t="n">
        <v>1</v>
      </c>
      <c r="Q55" s="0" t="s">
        <v>147</v>
      </c>
      <c r="R55" s="0" t="s">
        <v>34</v>
      </c>
      <c r="S55" s="0" t="n">
        <v>4</v>
      </c>
      <c r="T55" s="0" t="s">
        <v>411</v>
      </c>
      <c r="U55" s="0" t="n">
        <v>100</v>
      </c>
      <c r="V55" s="0" t="n">
        <v>4</v>
      </c>
      <c r="W55" s="0" t="s">
        <v>411</v>
      </c>
      <c r="X55" s="0" t="s">
        <v>276</v>
      </c>
      <c r="Y55" s="0" t="s">
        <v>412</v>
      </c>
      <c r="Z55" s="0" t="s">
        <v>413</v>
      </c>
      <c r="AA55" s="0" t="n">
        <v>64</v>
      </c>
      <c r="AB55" s="0" t="s">
        <v>414</v>
      </c>
      <c r="AC55" s="0" t="n">
        <v>0.875</v>
      </c>
      <c r="AD55" s="0" t="s">
        <v>427</v>
      </c>
      <c r="AE55" s="0" t="s">
        <v>433</v>
      </c>
      <c r="AF55" s="0" t="n">
        <v>70</v>
      </c>
      <c r="AG55" s="0" t="s">
        <v>422</v>
      </c>
      <c r="AH55" s="0" t="n">
        <v>0</v>
      </c>
      <c r="AI55" s="0" t="n">
        <v>96</v>
      </c>
      <c r="AL55" s="0" t="n">
        <v>-18.1372578</v>
      </c>
      <c r="AM55" s="0" t="n">
        <v>-65.5018355</v>
      </c>
      <c r="AN55" s="67" t="n">
        <v>201611010136</v>
      </c>
      <c r="AO55" s="67" t="n">
        <v>1072770004</v>
      </c>
      <c r="AP55" s="67" t="n">
        <v>837967</v>
      </c>
      <c r="AQ55" s="67" t="n">
        <v>8412414</v>
      </c>
      <c r="AR55" s="0" t="n">
        <v>0</v>
      </c>
    </row>
    <row r="56" customFormat="false" ht="15" hidden="false" customHeight="false" outlineLevel="0" collapsed="false">
      <c r="A56" s="0" t="n">
        <v>98</v>
      </c>
      <c r="B56" s="0" t="n">
        <v>44952</v>
      </c>
      <c r="C56" s="0" t="s">
        <v>216</v>
      </c>
      <c r="D56" s="0" t="s">
        <v>222</v>
      </c>
      <c r="E56" s="0" t="s">
        <v>409</v>
      </c>
      <c r="F56" s="0" t="n">
        <v>34</v>
      </c>
      <c r="G56" s="0" t="s">
        <v>410</v>
      </c>
      <c r="H56" s="0" t="n">
        <v>12588313</v>
      </c>
      <c r="I56" s="0" t="s">
        <v>33</v>
      </c>
      <c r="J56" s="0" t="n">
        <v>2</v>
      </c>
      <c r="K56" s="0" t="n">
        <v>2</v>
      </c>
      <c r="L56" s="0" t="n">
        <v>2</v>
      </c>
      <c r="M56" s="0" t="n">
        <v>0</v>
      </c>
      <c r="N56" s="0" t="n">
        <v>1</v>
      </c>
      <c r="O56" s="0" t="n">
        <v>1</v>
      </c>
      <c r="P56" s="0" t="n">
        <v>0</v>
      </c>
      <c r="Q56" s="0" t="s">
        <v>147</v>
      </c>
      <c r="R56" s="0" t="s">
        <v>76</v>
      </c>
      <c r="S56" s="0" t="n">
        <v>6</v>
      </c>
      <c r="T56" s="0" t="s">
        <v>411</v>
      </c>
      <c r="U56" s="0" t="n">
        <v>200</v>
      </c>
      <c r="V56" s="0" t="n">
        <v>3</v>
      </c>
      <c r="W56" s="0" t="s">
        <v>411</v>
      </c>
      <c r="X56" s="0" t="s">
        <v>276</v>
      </c>
      <c r="Y56" s="0" t="s">
        <v>412</v>
      </c>
      <c r="Z56" s="0" t="s">
        <v>413</v>
      </c>
      <c r="AA56" s="0" t="n">
        <v>64</v>
      </c>
      <c r="AB56" s="0" t="s">
        <v>426</v>
      </c>
      <c r="AC56" s="0" t="n">
        <v>0.875</v>
      </c>
      <c r="AD56" s="0" t="s">
        <v>427</v>
      </c>
      <c r="AE56" s="0" t="s">
        <v>416</v>
      </c>
      <c r="AF56" s="0" t="n">
        <v>0</v>
      </c>
      <c r="AG56" s="0" t="s">
        <v>428</v>
      </c>
      <c r="AH56" s="0" t="n">
        <v>7</v>
      </c>
      <c r="AI56" s="0" t="n">
        <v>95</v>
      </c>
      <c r="AL56" s="0" t="n">
        <v>-18.1361779</v>
      </c>
      <c r="AM56" s="0" t="n">
        <v>-65.517606</v>
      </c>
      <c r="AN56" s="67" t="n">
        <v>201611011938</v>
      </c>
      <c r="AO56" s="67" t="n">
        <v>1072770007</v>
      </c>
      <c r="AP56" s="67" t="n">
        <v>837959</v>
      </c>
      <c r="AQ56" s="67" t="n">
        <v>8412432</v>
      </c>
      <c r="AR56" s="0" t="n">
        <v>0</v>
      </c>
    </row>
    <row r="57" customFormat="false" ht="15" hidden="false" customHeight="false" outlineLevel="0" collapsed="false">
      <c r="A57" s="0" t="n">
        <v>28</v>
      </c>
      <c r="B57" s="0" t="n">
        <v>44952</v>
      </c>
      <c r="C57" s="0" t="s">
        <v>228</v>
      </c>
      <c r="D57" s="0" t="s">
        <v>229</v>
      </c>
      <c r="E57" s="0" t="s">
        <v>409</v>
      </c>
      <c r="F57" s="0" t="n">
        <v>23</v>
      </c>
      <c r="G57" s="0" t="s">
        <v>438</v>
      </c>
      <c r="H57" s="0" t="n">
        <v>8857254</v>
      </c>
      <c r="I57" s="0" t="s">
        <v>42</v>
      </c>
      <c r="J57" s="0" t="n">
        <v>0</v>
      </c>
      <c r="K57" s="0" t="n">
        <v>1</v>
      </c>
      <c r="L57" s="0" t="n">
        <v>4</v>
      </c>
      <c r="M57" s="0" t="n">
        <v>0</v>
      </c>
      <c r="N57" s="0" t="n">
        <v>3</v>
      </c>
      <c r="O57" s="0" t="n">
        <v>1</v>
      </c>
      <c r="P57" s="0" t="n">
        <v>0</v>
      </c>
      <c r="Q57" s="0" t="s">
        <v>412</v>
      </c>
      <c r="R57" s="0" t="s">
        <v>34</v>
      </c>
      <c r="S57" s="0" t="n">
        <v>5</v>
      </c>
      <c r="T57" s="0" t="s">
        <v>411</v>
      </c>
      <c r="U57" s="0" t="n">
        <v>300</v>
      </c>
      <c r="V57" s="0" t="n">
        <v>5</v>
      </c>
      <c r="W57" s="0" t="s">
        <v>423</v>
      </c>
      <c r="X57" s="0" t="s">
        <v>459</v>
      </c>
      <c r="Y57" s="0" t="s">
        <v>412</v>
      </c>
      <c r="Z57" s="0" t="s">
        <v>425</v>
      </c>
      <c r="AA57" s="0" t="n">
        <v>77</v>
      </c>
      <c r="AB57" s="0" t="s">
        <v>414</v>
      </c>
      <c r="AC57" s="0" t="n">
        <v>0.916666666666667</v>
      </c>
      <c r="AD57" s="0" t="s">
        <v>431</v>
      </c>
      <c r="AE57" s="0" t="s">
        <v>433</v>
      </c>
      <c r="AF57" s="0" t="n">
        <v>35</v>
      </c>
      <c r="AG57" s="0" t="s">
        <v>417</v>
      </c>
      <c r="AH57" s="0" t="n">
        <v>7</v>
      </c>
      <c r="AI57" s="0" t="s">
        <v>460</v>
      </c>
      <c r="AL57" s="0" t="n">
        <v>-18.1683989</v>
      </c>
      <c r="AM57" s="0" t="n">
        <v>-65.4671168</v>
      </c>
      <c r="AR57" s="0" t="n">
        <v>0</v>
      </c>
    </row>
    <row r="58" customFormat="false" ht="15" hidden="false" customHeight="false" outlineLevel="0" collapsed="false">
      <c r="A58" s="0" t="n">
        <v>20</v>
      </c>
      <c r="B58" s="0" t="n">
        <v>44952</v>
      </c>
      <c r="C58" s="0" t="s">
        <v>461</v>
      </c>
      <c r="D58" s="0" t="s">
        <v>201</v>
      </c>
      <c r="E58" s="0" t="s">
        <v>419</v>
      </c>
      <c r="F58" s="0" t="n">
        <v>60</v>
      </c>
      <c r="G58" s="0" t="s">
        <v>420</v>
      </c>
      <c r="H58" s="0" t="n">
        <v>9365313</v>
      </c>
      <c r="I58" s="0" t="s">
        <v>42</v>
      </c>
      <c r="J58" s="0" t="n">
        <v>0</v>
      </c>
      <c r="K58" s="0" t="n">
        <v>1</v>
      </c>
      <c r="L58" s="0" t="n">
        <v>0</v>
      </c>
      <c r="M58" s="0" t="n">
        <v>2</v>
      </c>
      <c r="N58" s="0" t="n">
        <v>1</v>
      </c>
      <c r="O58" s="0" t="n">
        <v>1</v>
      </c>
      <c r="P58" s="0" t="n">
        <v>0</v>
      </c>
      <c r="Q58" s="0" t="s">
        <v>147</v>
      </c>
      <c r="R58" s="0" t="s">
        <v>65</v>
      </c>
      <c r="S58" s="0" t="n">
        <v>3</v>
      </c>
      <c r="T58" s="0" t="s">
        <v>411</v>
      </c>
      <c r="U58" s="0" t="n">
        <v>200</v>
      </c>
      <c r="V58" s="0" t="n">
        <v>4</v>
      </c>
      <c r="W58" s="0" t="s">
        <v>411</v>
      </c>
      <c r="X58" s="0" t="s">
        <v>276</v>
      </c>
      <c r="Y58" s="0" t="s">
        <v>412</v>
      </c>
      <c r="Z58" s="0" t="s">
        <v>430</v>
      </c>
      <c r="AB58" s="0" t="s">
        <v>426</v>
      </c>
      <c r="AC58" s="0" t="n">
        <v>1.91666666666667</v>
      </c>
      <c r="AD58" s="0" t="s">
        <v>442</v>
      </c>
      <c r="AE58" s="0" t="s">
        <v>416</v>
      </c>
      <c r="AF58" s="0" t="n">
        <v>0</v>
      </c>
      <c r="AG58" s="0" t="s">
        <v>428</v>
      </c>
      <c r="AH58" s="0" t="n">
        <v>7</v>
      </c>
      <c r="AI58" s="0" t="n">
        <v>28</v>
      </c>
      <c r="AJ58" s="0" t="n">
        <v>0</v>
      </c>
      <c r="AK58" s="2" t="n">
        <v>0</v>
      </c>
      <c r="AL58" s="0" t="n">
        <v>-18.1547305</v>
      </c>
      <c r="AM58" s="0" t="n">
        <v>-65.4842005</v>
      </c>
      <c r="AR58" s="0" t="n">
        <v>0</v>
      </c>
    </row>
    <row r="59" customFormat="false" ht="15" hidden="false" customHeight="false" outlineLevel="0" collapsed="false">
      <c r="A59" s="0" t="n">
        <v>31</v>
      </c>
      <c r="B59" s="0" t="n">
        <v>44952</v>
      </c>
      <c r="C59" s="0" t="s">
        <v>235</v>
      </c>
      <c r="D59" s="0" t="s">
        <v>236</v>
      </c>
      <c r="E59" s="0" t="s">
        <v>419</v>
      </c>
      <c r="F59" s="0" t="n">
        <v>63</v>
      </c>
      <c r="G59" s="0" t="s">
        <v>420</v>
      </c>
      <c r="H59" s="0" t="n">
        <v>8856892</v>
      </c>
      <c r="I59" s="0" t="s">
        <v>42</v>
      </c>
      <c r="J59" s="0" t="n">
        <v>0</v>
      </c>
      <c r="K59" s="0" t="n">
        <v>3</v>
      </c>
      <c r="L59" s="0" t="n">
        <v>4</v>
      </c>
      <c r="M59" s="0" t="n">
        <v>1</v>
      </c>
      <c r="N59" s="0" t="n">
        <v>4</v>
      </c>
      <c r="O59" s="0" t="n">
        <v>0</v>
      </c>
      <c r="P59" s="0" t="n">
        <v>0</v>
      </c>
      <c r="Q59" s="0" t="s">
        <v>147</v>
      </c>
      <c r="R59" s="0" t="s">
        <v>60</v>
      </c>
      <c r="S59" s="0" t="n">
        <v>8</v>
      </c>
      <c r="T59" s="0" t="s">
        <v>411</v>
      </c>
      <c r="U59" s="0" t="n">
        <v>300</v>
      </c>
      <c r="V59" s="0" t="n">
        <v>4</v>
      </c>
      <c r="W59" s="0" t="s">
        <v>423</v>
      </c>
      <c r="X59" s="0" t="s">
        <v>424</v>
      </c>
      <c r="Y59" s="0" t="s">
        <v>412</v>
      </c>
      <c r="Z59" s="0" t="s">
        <v>430</v>
      </c>
      <c r="AA59" s="0" t="n">
        <v>72</v>
      </c>
      <c r="AB59" s="0" t="s">
        <v>426</v>
      </c>
      <c r="AC59" s="0" t="n">
        <v>0.916666666666667</v>
      </c>
      <c r="AD59" s="0" t="s">
        <v>431</v>
      </c>
      <c r="AE59" s="0" t="s">
        <v>416</v>
      </c>
      <c r="AF59" s="0" t="n">
        <v>0</v>
      </c>
      <c r="AG59" s="0" t="s">
        <v>417</v>
      </c>
      <c r="AH59" s="0" t="n">
        <v>7</v>
      </c>
      <c r="AI59" s="0" t="n">
        <v>29</v>
      </c>
      <c r="AL59" s="0" t="n">
        <v>-18.1577996</v>
      </c>
      <c r="AM59" s="0" t="n">
        <v>-65.454351</v>
      </c>
      <c r="AR59" s="0" t="n">
        <v>0</v>
      </c>
    </row>
    <row r="60" customFormat="false" ht="14.25" hidden="false" customHeight="true" outlineLevel="0" collapsed="false">
      <c r="A60" s="0" t="n">
        <v>79</v>
      </c>
      <c r="B60" s="0" t="n">
        <v>44951</v>
      </c>
      <c r="C60" s="0" t="s">
        <v>235</v>
      </c>
      <c r="D60" s="0" t="s">
        <v>238</v>
      </c>
      <c r="E60" s="0" t="s">
        <v>419</v>
      </c>
      <c r="F60" s="0" t="n">
        <v>73</v>
      </c>
      <c r="G60" s="0" t="s">
        <v>420</v>
      </c>
      <c r="H60" s="0" t="n">
        <v>7989347</v>
      </c>
      <c r="I60" s="0" t="s">
        <v>51</v>
      </c>
      <c r="J60" s="0" t="n">
        <v>0</v>
      </c>
      <c r="K60" s="0" t="n">
        <v>0</v>
      </c>
      <c r="L60" s="0" t="n">
        <v>6</v>
      </c>
      <c r="M60" s="0" t="n">
        <v>1</v>
      </c>
      <c r="N60" s="0" t="n">
        <v>6</v>
      </c>
      <c r="O60" s="0" t="n">
        <v>0</v>
      </c>
      <c r="P60" s="0" t="n">
        <v>1</v>
      </c>
      <c r="Q60" s="0" t="s">
        <v>412</v>
      </c>
      <c r="R60" s="0" t="s">
        <v>239</v>
      </c>
      <c r="S60" s="0" t="n">
        <v>7</v>
      </c>
      <c r="T60" s="0" t="s">
        <v>423</v>
      </c>
      <c r="U60" s="0" t="n">
        <v>300</v>
      </c>
      <c r="V60" s="0" t="n">
        <v>1</v>
      </c>
      <c r="W60" s="0" t="s">
        <v>423</v>
      </c>
      <c r="X60" s="0" t="s">
        <v>429</v>
      </c>
      <c r="Y60" s="0" t="s">
        <v>412</v>
      </c>
      <c r="Z60" s="0" t="s">
        <v>413</v>
      </c>
      <c r="AA60" s="0" t="n">
        <v>24</v>
      </c>
      <c r="AB60" s="0" t="s">
        <v>414</v>
      </c>
      <c r="AC60" s="0" t="n">
        <v>0.916666666666667</v>
      </c>
      <c r="AD60" s="0" t="s">
        <v>427</v>
      </c>
      <c r="AE60" s="0" t="s">
        <v>416</v>
      </c>
      <c r="AF60" s="0" t="n">
        <v>0</v>
      </c>
      <c r="AG60" s="0" t="s">
        <v>428</v>
      </c>
      <c r="AH60" s="0" t="n">
        <v>7</v>
      </c>
      <c r="AI60" s="0" t="n">
        <v>73</v>
      </c>
      <c r="AL60" s="0" t="n">
        <v>-18.2362581</v>
      </c>
      <c r="AM60" s="0" t="n">
        <v>-65.3458015</v>
      </c>
      <c r="AN60" s="67" t="n">
        <v>201611010025</v>
      </c>
      <c r="AO60" s="67" t="n">
        <v>1072771876</v>
      </c>
      <c r="AP60" s="67" t="n">
        <v>837953</v>
      </c>
      <c r="AQ60" s="67" t="n">
        <v>8412445</v>
      </c>
      <c r="AR60" s="0" t="n">
        <v>1</v>
      </c>
      <c r="AS60" s="0" t="n">
        <v>0</v>
      </c>
    </row>
    <row r="61" customFormat="false" ht="15" hidden="false" customHeight="false" outlineLevel="0" collapsed="false">
      <c r="A61" s="0" t="n">
        <v>99</v>
      </c>
      <c r="B61" s="0" t="n">
        <v>44952</v>
      </c>
      <c r="C61" s="0" t="s">
        <v>241</v>
      </c>
      <c r="D61" s="0" t="s">
        <v>242</v>
      </c>
      <c r="E61" s="0" t="s">
        <v>409</v>
      </c>
      <c r="F61" s="0" t="n">
        <v>68</v>
      </c>
      <c r="G61" s="0" t="s">
        <v>410</v>
      </c>
      <c r="H61" s="0" t="n">
        <v>4393316</v>
      </c>
      <c r="I61" s="0" t="s">
        <v>33</v>
      </c>
      <c r="J61" s="0" t="n">
        <v>0</v>
      </c>
      <c r="K61" s="0" t="n">
        <v>0</v>
      </c>
      <c r="L61" s="0" t="n">
        <v>0</v>
      </c>
      <c r="M61" s="0" t="n">
        <v>2</v>
      </c>
      <c r="N61" s="0" t="n">
        <v>1</v>
      </c>
      <c r="O61" s="0" t="n">
        <v>1</v>
      </c>
      <c r="P61" s="0" t="n">
        <v>0</v>
      </c>
      <c r="Q61" s="0" t="s">
        <v>412</v>
      </c>
      <c r="R61" s="0" t="s">
        <v>125</v>
      </c>
      <c r="S61" s="0" t="n">
        <v>2</v>
      </c>
      <c r="T61" s="0" t="s">
        <v>411</v>
      </c>
      <c r="U61" s="0" t="n">
        <v>300</v>
      </c>
      <c r="V61" s="0" t="n">
        <v>5</v>
      </c>
      <c r="W61" s="0" t="s">
        <v>411</v>
      </c>
      <c r="X61" s="0" t="s">
        <v>276</v>
      </c>
      <c r="Y61" s="0" t="s">
        <v>412</v>
      </c>
      <c r="Z61" s="0" t="s">
        <v>425</v>
      </c>
      <c r="AA61" s="0" t="n">
        <v>72</v>
      </c>
      <c r="AB61" s="0" t="s">
        <v>414</v>
      </c>
      <c r="AC61" s="0" t="n">
        <v>0.916666666666667</v>
      </c>
      <c r="AD61" s="0" t="s">
        <v>427</v>
      </c>
      <c r="AE61" s="0" t="s">
        <v>416</v>
      </c>
      <c r="AF61" s="0" t="n">
        <v>0</v>
      </c>
      <c r="AG61" s="0" t="s">
        <v>428</v>
      </c>
      <c r="AH61" s="0" t="n">
        <v>7</v>
      </c>
      <c r="AI61" s="0" t="n">
        <v>97</v>
      </c>
      <c r="AL61" s="0" t="n">
        <v>-18.1353314</v>
      </c>
      <c r="AM61" s="0" t="n">
        <v>-65.4927878</v>
      </c>
      <c r="AN61" s="67" t="n">
        <v>201611011931</v>
      </c>
      <c r="AO61" s="67" t="n">
        <v>1072770003</v>
      </c>
      <c r="AP61" s="67" t="n">
        <v>837988</v>
      </c>
      <c r="AQ61" s="67" t="n">
        <v>8412419</v>
      </c>
      <c r="AR61" s="0" t="n">
        <v>0</v>
      </c>
    </row>
    <row r="62" customFormat="false" ht="15" hidden="false" customHeight="false" outlineLevel="0" collapsed="false">
      <c r="A62" s="0" t="n">
        <v>81</v>
      </c>
      <c r="B62" s="0" t="n">
        <v>44951</v>
      </c>
      <c r="C62" s="0" t="s">
        <v>244</v>
      </c>
      <c r="D62" s="0" t="s">
        <v>245</v>
      </c>
      <c r="E62" s="0" t="s">
        <v>409</v>
      </c>
      <c r="F62" s="0" t="n">
        <v>38</v>
      </c>
      <c r="G62" s="0" t="s">
        <v>410</v>
      </c>
      <c r="H62" s="0" t="n">
        <v>13657875</v>
      </c>
      <c r="I62" s="0" t="s">
        <v>51</v>
      </c>
      <c r="J62" s="0" t="n">
        <v>0</v>
      </c>
      <c r="K62" s="0" t="n">
        <v>3</v>
      </c>
      <c r="L62" s="0" t="n">
        <v>2</v>
      </c>
      <c r="M62" s="0" t="n">
        <v>0</v>
      </c>
      <c r="N62" s="0" t="n">
        <v>1</v>
      </c>
      <c r="O62" s="0" t="n">
        <v>1</v>
      </c>
      <c r="P62" s="0" t="n">
        <v>0</v>
      </c>
      <c r="Q62" s="0" t="s">
        <v>147</v>
      </c>
      <c r="R62" s="0" t="s">
        <v>65</v>
      </c>
      <c r="S62" s="0" t="n">
        <v>5</v>
      </c>
      <c r="T62" s="0" t="s">
        <v>411</v>
      </c>
      <c r="U62" s="0" t="n">
        <v>400</v>
      </c>
      <c r="V62" s="0" t="n">
        <v>3</v>
      </c>
      <c r="W62" s="0" t="s">
        <v>411</v>
      </c>
      <c r="X62" s="0" t="s">
        <v>276</v>
      </c>
      <c r="Y62" s="0" t="s">
        <v>412</v>
      </c>
      <c r="Z62" s="0" t="s">
        <v>430</v>
      </c>
      <c r="AA62" s="0" t="n">
        <v>60</v>
      </c>
      <c r="AB62" s="0" t="s">
        <v>426</v>
      </c>
      <c r="AC62" s="0" t="n">
        <v>0.875</v>
      </c>
      <c r="AD62" s="0" t="s">
        <v>427</v>
      </c>
      <c r="AE62" s="0" t="s">
        <v>416</v>
      </c>
      <c r="AF62" s="0" t="n">
        <v>0</v>
      </c>
      <c r="AG62" s="0" t="s">
        <v>428</v>
      </c>
      <c r="AH62" s="0" t="n">
        <v>7</v>
      </c>
      <c r="AI62" s="0" t="n">
        <v>74</v>
      </c>
      <c r="AJ62" s="0" t="n">
        <v>1</v>
      </c>
      <c r="AL62" s="0" t="n">
        <v>-18.2401953</v>
      </c>
      <c r="AM62" s="0" t="n">
        <v>-65.3418958</v>
      </c>
      <c r="AN62" s="67" t="n">
        <v>201611010349</v>
      </c>
      <c r="AO62" s="67" t="n">
        <v>1072770253</v>
      </c>
      <c r="AP62" s="67" t="n">
        <v>837976</v>
      </c>
      <c r="AQ62" s="67" t="n">
        <v>8412446</v>
      </c>
      <c r="AR62" s="0" t="n">
        <v>0</v>
      </c>
    </row>
    <row r="63" customFormat="false" ht="15" hidden="false" customHeight="false" outlineLevel="0" collapsed="false">
      <c r="A63" s="0" t="n">
        <v>93</v>
      </c>
      <c r="B63" s="0" t="n">
        <v>44952</v>
      </c>
      <c r="C63" s="0" t="s">
        <v>250</v>
      </c>
      <c r="D63" s="0" t="s">
        <v>251</v>
      </c>
      <c r="E63" s="0" t="s">
        <v>409</v>
      </c>
      <c r="F63" s="0" t="n">
        <v>58</v>
      </c>
      <c r="G63" s="0" t="s">
        <v>410</v>
      </c>
      <c r="H63" s="0" t="n">
        <v>934614</v>
      </c>
      <c r="I63" s="0" t="s">
        <v>33</v>
      </c>
      <c r="J63" s="0" t="n">
        <v>0</v>
      </c>
      <c r="K63" s="0" t="n">
        <v>0</v>
      </c>
      <c r="L63" s="0" t="n">
        <v>9</v>
      </c>
      <c r="M63" s="0" t="n">
        <v>0</v>
      </c>
      <c r="N63" s="0" t="n">
        <v>6</v>
      </c>
      <c r="O63" s="0" t="n">
        <v>3</v>
      </c>
      <c r="P63" s="0" t="n">
        <v>0</v>
      </c>
      <c r="Q63" s="0" t="s">
        <v>412</v>
      </c>
      <c r="R63" s="0" t="s">
        <v>239</v>
      </c>
      <c r="S63" s="0" t="n">
        <v>9</v>
      </c>
      <c r="T63" s="0" t="s">
        <v>411</v>
      </c>
      <c r="U63" s="0" t="n">
        <v>0</v>
      </c>
      <c r="V63" s="0" t="n">
        <v>3</v>
      </c>
      <c r="W63" s="0" t="s">
        <v>423</v>
      </c>
      <c r="X63" s="0" t="s">
        <v>462</v>
      </c>
      <c r="Y63" s="0" t="s">
        <v>412</v>
      </c>
      <c r="Z63" s="0" t="s">
        <v>430</v>
      </c>
      <c r="AA63" s="0" t="n">
        <v>172</v>
      </c>
      <c r="AB63" s="0" t="s">
        <v>426</v>
      </c>
      <c r="AC63" s="0" t="n">
        <v>0.916666666666667</v>
      </c>
      <c r="AD63" s="0" t="s">
        <v>427</v>
      </c>
      <c r="AE63" s="0" t="s">
        <v>416</v>
      </c>
      <c r="AF63" s="0" t="n">
        <v>0</v>
      </c>
      <c r="AG63" s="0" t="s">
        <v>428</v>
      </c>
      <c r="AH63" s="0" t="n">
        <v>14</v>
      </c>
      <c r="AI63" s="0" t="n">
        <v>98</v>
      </c>
      <c r="AL63" s="0" t="n">
        <v>-18.1432049</v>
      </c>
      <c r="AM63" s="0" t="n">
        <v>-65.4927342</v>
      </c>
      <c r="AN63" s="73" t="n">
        <v>201601110899</v>
      </c>
      <c r="AO63" s="67" t="n">
        <v>1072770005</v>
      </c>
      <c r="AP63" s="67" t="n">
        <v>837989</v>
      </c>
      <c r="AQ63" s="67" t="n">
        <v>8412401</v>
      </c>
      <c r="AR63" s="0" t="n">
        <v>0</v>
      </c>
    </row>
    <row r="64" customFormat="false" ht="15" hidden="false" customHeight="false" outlineLevel="0" collapsed="false">
      <c r="A64" s="0" t="n">
        <v>87</v>
      </c>
      <c r="B64" s="0" t="n">
        <v>44951</v>
      </c>
      <c r="C64" s="0" t="s">
        <v>253</v>
      </c>
      <c r="D64" s="0" t="s">
        <v>254</v>
      </c>
      <c r="E64" s="0" t="s">
        <v>419</v>
      </c>
      <c r="F64" s="0" t="n">
        <v>52</v>
      </c>
      <c r="G64" s="0" t="s">
        <v>420</v>
      </c>
      <c r="H64" s="0" t="n">
        <v>12582445</v>
      </c>
      <c r="I64" s="0" t="s">
        <v>51</v>
      </c>
      <c r="J64" s="0" t="n">
        <v>0</v>
      </c>
      <c r="K64" s="0" t="n">
        <v>3</v>
      </c>
      <c r="L64" s="0" t="n">
        <v>8</v>
      </c>
      <c r="M64" s="0" t="n">
        <v>0</v>
      </c>
      <c r="N64" s="0" t="n">
        <v>7</v>
      </c>
      <c r="O64" s="0" t="n">
        <v>1</v>
      </c>
      <c r="P64" s="0" t="n">
        <v>0</v>
      </c>
      <c r="Q64" s="0" t="s">
        <v>147</v>
      </c>
      <c r="R64" s="0" t="s">
        <v>60</v>
      </c>
      <c r="S64" s="0" t="n">
        <v>11</v>
      </c>
      <c r="T64" s="0" t="s">
        <v>411</v>
      </c>
      <c r="U64" s="0" t="n">
        <v>600</v>
      </c>
      <c r="V64" s="0" t="n">
        <v>5</v>
      </c>
      <c r="W64" s="0" t="s">
        <v>423</v>
      </c>
      <c r="X64" s="0" t="s">
        <v>463</v>
      </c>
      <c r="Y64" s="0" t="s">
        <v>412</v>
      </c>
      <c r="Z64" s="0" t="s">
        <v>464</v>
      </c>
      <c r="AA64" s="0" t="n">
        <v>208</v>
      </c>
      <c r="AB64" s="0" t="s">
        <v>426</v>
      </c>
      <c r="AC64" s="0" t="n">
        <v>0.833333333333333</v>
      </c>
      <c r="AD64" s="0" t="s">
        <v>415</v>
      </c>
      <c r="AE64" s="0" t="s">
        <v>433</v>
      </c>
      <c r="AF64" s="0" t="n">
        <v>35</v>
      </c>
      <c r="AG64" s="0" t="s">
        <v>428</v>
      </c>
      <c r="AH64" s="0" t="n">
        <v>14</v>
      </c>
      <c r="AI64" s="0" t="n">
        <v>75</v>
      </c>
      <c r="AJ64" s="0" t="n">
        <v>1</v>
      </c>
      <c r="AL64" s="0" t="n">
        <v>-18.2317261</v>
      </c>
      <c r="AM64" s="0" t="n">
        <v>-65.3539181</v>
      </c>
      <c r="AN64" s="67" t="n">
        <v>201611010274</v>
      </c>
      <c r="AO64" s="67" t="n">
        <v>1072770251</v>
      </c>
      <c r="AP64" s="67" t="n">
        <v>837981</v>
      </c>
      <c r="AQ64" s="67" t="n">
        <v>8412423</v>
      </c>
      <c r="AR64" s="0" t="n">
        <v>0</v>
      </c>
    </row>
    <row r="65" customFormat="false" ht="15" hidden="false" customHeight="false" outlineLevel="0" collapsed="false">
      <c r="A65" s="0" t="n">
        <v>42</v>
      </c>
      <c r="B65" s="0" t="n">
        <v>44952</v>
      </c>
      <c r="C65" s="0" t="s">
        <v>256</v>
      </c>
      <c r="D65" s="0" t="s">
        <v>257</v>
      </c>
      <c r="E65" s="0" t="s">
        <v>409</v>
      </c>
      <c r="F65" s="0" t="n">
        <v>43</v>
      </c>
      <c r="G65" s="0" t="s">
        <v>410</v>
      </c>
      <c r="H65" s="0" t="n">
        <v>12778873</v>
      </c>
      <c r="I65" s="0" t="s">
        <v>42</v>
      </c>
      <c r="J65" s="0" t="n">
        <v>0</v>
      </c>
      <c r="K65" s="0" t="n">
        <v>4</v>
      </c>
      <c r="L65" s="0" t="n">
        <v>4</v>
      </c>
      <c r="M65" s="0" t="n">
        <v>2</v>
      </c>
      <c r="N65" s="0" t="n">
        <v>3</v>
      </c>
      <c r="O65" s="0" t="n">
        <v>1</v>
      </c>
      <c r="P65" s="0" t="n">
        <v>2</v>
      </c>
      <c r="Q65" s="0" t="s">
        <v>147</v>
      </c>
      <c r="R65" s="0" t="s">
        <v>60</v>
      </c>
      <c r="S65" s="0" t="n">
        <v>10</v>
      </c>
      <c r="T65" s="0" t="s">
        <v>423</v>
      </c>
      <c r="U65" s="0" t="n">
        <v>500</v>
      </c>
      <c r="V65" s="0" t="n">
        <v>4</v>
      </c>
      <c r="W65" s="0" t="s">
        <v>423</v>
      </c>
      <c r="X65" s="0" t="s">
        <v>429</v>
      </c>
      <c r="Y65" s="0" t="s">
        <v>412</v>
      </c>
      <c r="Z65" s="0" t="s">
        <v>430</v>
      </c>
      <c r="AA65" s="0" t="n">
        <v>200</v>
      </c>
      <c r="AB65" s="0" t="s">
        <v>414</v>
      </c>
      <c r="AC65" s="0" t="n">
        <v>0.916666666666667</v>
      </c>
      <c r="AD65" s="0" t="s">
        <v>431</v>
      </c>
      <c r="AE65" s="0" t="s">
        <v>416</v>
      </c>
      <c r="AF65" s="0" t="n">
        <v>0</v>
      </c>
      <c r="AG65" s="0" t="s">
        <v>428</v>
      </c>
      <c r="AH65" s="0" t="n">
        <v>14</v>
      </c>
      <c r="AI65" s="0" t="n">
        <v>30</v>
      </c>
      <c r="AL65" s="0" t="n">
        <v>-18.1590892</v>
      </c>
      <c r="AM65" s="0" t="n">
        <v>-65.454477</v>
      </c>
      <c r="AR65" s="0" t="n">
        <v>1</v>
      </c>
      <c r="AS65" s="0" t="n">
        <v>0</v>
      </c>
    </row>
    <row r="66" customFormat="false" ht="15" hidden="false" customHeight="false" outlineLevel="0" collapsed="false">
      <c r="A66" s="0" t="n">
        <v>40</v>
      </c>
      <c r="B66" s="0" t="n">
        <v>44952</v>
      </c>
      <c r="C66" s="0" t="s">
        <v>260</v>
      </c>
      <c r="D66" s="0" t="s">
        <v>261</v>
      </c>
      <c r="E66" s="0" t="s">
        <v>409</v>
      </c>
      <c r="F66" s="0" t="n">
        <v>45</v>
      </c>
      <c r="G66" s="0" t="s">
        <v>410</v>
      </c>
      <c r="H66" s="0" t="n">
        <v>9365890</v>
      </c>
      <c r="I66" s="0" t="s">
        <v>42</v>
      </c>
      <c r="J66" s="0" t="n">
        <v>1</v>
      </c>
      <c r="K66" s="0" t="n">
        <v>1</v>
      </c>
      <c r="L66" s="0" t="n">
        <v>4</v>
      </c>
      <c r="M66" s="0" t="n">
        <v>0</v>
      </c>
      <c r="N66" s="0" t="n">
        <v>3</v>
      </c>
      <c r="O66" s="0" t="n">
        <v>1</v>
      </c>
      <c r="P66" s="0" t="n">
        <v>0</v>
      </c>
      <c r="Q66" s="0" t="s">
        <v>147</v>
      </c>
      <c r="R66" s="0" t="s">
        <v>34</v>
      </c>
      <c r="S66" s="0" t="n">
        <v>6</v>
      </c>
      <c r="T66" s="0" t="s">
        <v>411</v>
      </c>
      <c r="U66" s="0" t="n">
        <v>500</v>
      </c>
      <c r="V66" s="0" t="n">
        <v>3</v>
      </c>
      <c r="W66" s="0" t="s">
        <v>423</v>
      </c>
      <c r="X66" s="0" t="s">
        <v>439</v>
      </c>
      <c r="Y66" s="0" t="s">
        <v>412</v>
      </c>
      <c r="Z66" s="0" t="s">
        <v>430</v>
      </c>
      <c r="AA66" s="0" t="n">
        <v>206</v>
      </c>
      <c r="AB66" s="0" t="s">
        <v>426</v>
      </c>
      <c r="AC66" s="0" t="n">
        <v>0.916666666666667</v>
      </c>
      <c r="AD66" s="0" t="s">
        <v>431</v>
      </c>
      <c r="AE66" s="0" t="s">
        <v>433</v>
      </c>
      <c r="AF66" s="0" t="n">
        <v>35</v>
      </c>
      <c r="AG66" s="0" t="s">
        <v>417</v>
      </c>
      <c r="AH66" s="0" t="n">
        <v>7</v>
      </c>
      <c r="AI66" s="0" t="n">
        <v>31</v>
      </c>
      <c r="AL66" s="0" t="n">
        <v>-18.1673653</v>
      </c>
      <c r="AM66" s="0" t="n">
        <v>-65.4619864</v>
      </c>
      <c r="AR66" s="0" t="n">
        <v>0</v>
      </c>
    </row>
    <row r="67" customFormat="false" ht="15" hidden="false" customHeight="false" outlineLevel="0" collapsed="false">
      <c r="A67" s="0" t="n">
        <v>29</v>
      </c>
      <c r="B67" s="0" t="n">
        <v>44952</v>
      </c>
      <c r="C67" s="0" t="s">
        <v>264</v>
      </c>
      <c r="D67" s="0" t="s">
        <v>265</v>
      </c>
      <c r="E67" s="0" t="s">
        <v>419</v>
      </c>
      <c r="F67" s="0" t="n">
        <v>71</v>
      </c>
      <c r="G67" s="0" t="s">
        <v>420</v>
      </c>
      <c r="H67" s="0" t="n">
        <v>8856839</v>
      </c>
      <c r="I67" s="0" t="s">
        <v>42</v>
      </c>
      <c r="J67" s="0" t="n">
        <v>0</v>
      </c>
      <c r="K67" s="0" t="n">
        <v>2</v>
      </c>
      <c r="L67" s="0" t="n">
        <v>0</v>
      </c>
      <c r="M67" s="0" t="n">
        <v>1</v>
      </c>
      <c r="N67" s="0" t="n">
        <v>0</v>
      </c>
      <c r="O67" s="0" t="n">
        <v>1</v>
      </c>
      <c r="P67" s="0" t="n">
        <v>0</v>
      </c>
      <c r="Q67" s="0" t="s">
        <v>147</v>
      </c>
      <c r="R67" s="0" t="s">
        <v>52</v>
      </c>
      <c r="S67" s="0" t="n">
        <v>3</v>
      </c>
      <c r="T67" s="0" t="s">
        <v>411</v>
      </c>
      <c r="U67" s="0" t="n">
        <v>300</v>
      </c>
      <c r="V67" s="0" t="n">
        <v>3</v>
      </c>
      <c r="W67" s="0" t="s">
        <v>411</v>
      </c>
      <c r="X67" s="0" t="s">
        <v>276</v>
      </c>
      <c r="Y67" s="0" t="s">
        <v>412</v>
      </c>
      <c r="Z67" s="0" t="s">
        <v>413</v>
      </c>
      <c r="AA67" s="0" t="n">
        <v>32</v>
      </c>
      <c r="AB67" s="0" t="s">
        <v>414</v>
      </c>
      <c r="AC67" s="0" t="n">
        <v>0.916666666666667</v>
      </c>
      <c r="AD67" s="0" t="s">
        <v>431</v>
      </c>
      <c r="AE67" s="0" t="s">
        <v>416</v>
      </c>
      <c r="AF67" s="0" t="n">
        <v>0</v>
      </c>
      <c r="AG67" s="0" t="s">
        <v>428</v>
      </c>
      <c r="AH67" s="0" t="n">
        <v>7</v>
      </c>
      <c r="AI67" s="0" t="n">
        <v>32</v>
      </c>
      <c r="AJ67" s="0" t="n">
        <v>0</v>
      </c>
      <c r="AK67" s="2" t="n">
        <v>0</v>
      </c>
      <c r="AL67" s="0" t="n">
        <v>-18.1480488</v>
      </c>
      <c r="AM67" s="0" t="n">
        <v>-65.4835629</v>
      </c>
      <c r="AR67" s="0" t="n">
        <v>0</v>
      </c>
    </row>
    <row r="68" customFormat="false" ht="15" hidden="false" customHeight="false" outlineLevel="0" collapsed="false">
      <c r="A68" s="0" t="n">
        <v>58</v>
      </c>
      <c r="B68" s="0" t="n">
        <v>44951</v>
      </c>
      <c r="C68" s="0" t="s">
        <v>269</v>
      </c>
      <c r="D68" s="0" t="s">
        <v>144</v>
      </c>
      <c r="E68" s="0" t="s">
        <v>409</v>
      </c>
      <c r="F68" s="0" t="n">
        <v>51</v>
      </c>
      <c r="G68" s="0" t="s">
        <v>410</v>
      </c>
      <c r="H68" s="0" t="n">
        <v>6517852</v>
      </c>
      <c r="I68" s="0" t="s">
        <v>51</v>
      </c>
      <c r="J68" s="0" t="n">
        <v>1</v>
      </c>
      <c r="K68" s="0" t="n">
        <v>2</v>
      </c>
      <c r="L68" s="0" t="n">
        <v>2</v>
      </c>
      <c r="M68" s="0" t="n">
        <v>0</v>
      </c>
      <c r="N68" s="0" t="n">
        <v>1</v>
      </c>
      <c r="O68" s="0" t="n">
        <v>1</v>
      </c>
      <c r="P68" s="0" t="n">
        <v>0</v>
      </c>
      <c r="Q68" s="0" t="s">
        <v>412</v>
      </c>
      <c r="R68" s="0" t="s">
        <v>65</v>
      </c>
      <c r="S68" s="0" t="n">
        <v>5</v>
      </c>
      <c r="T68" s="0" t="s">
        <v>411</v>
      </c>
      <c r="U68" s="0" t="n">
        <v>0</v>
      </c>
      <c r="V68" s="0" t="n">
        <v>3</v>
      </c>
      <c r="W68" s="0" t="s">
        <v>423</v>
      </c>
      <c r="X68" s="0" t="s">
        <v>424</v>
      </c>
      <c r="Y68" s="0" t="s">
        <v>412</v>
      </c>
      <c r="Z68" s="0" t="s">
        <v>430</v>
      </c>
      <c r="AA68" s="0" t="n">
        <v>62</v>
      </c>
      <c r="AB68" s="0" t="s">
        <v>414</v>
      </c>
      <c r="AC68" s="0" t="n">
        <v>0.916666666666667</v>
      </c>
      <c r="AD68" s="0" t="s">
        <v>427</v>
      </c>
      <c r="AE68" s="0" t="s">
        <v>416</v>
      </c>
      <c r="AF68" s="0" t="n">
        <v>0</v>
      </c>
      <c r="AG68" s="0" t="s">
        <v>428</v>
      </c>
      <c r="AH68" s="0" t="n">
        <v>7</v>
      </c>
      <c r="AI68" s="0" t="n">
        <v>76</v>
      </c>
      <c r="AL68" s="0" t="n">
        <v>-18.2299309</v>
      </c>
      <c r="AM68" s="0" t="n">
        <v>-65.3469796</v>
      </c>
      <c r="AN68" s="67" t="n">
        <v>201611010151</v>
      </c>
      <c r="AO68" s="67" t="n">
        <v>1072770254</v>
      </c>
      <c r="AP68" s="67" t="n">
        <v>837968</v>
      </c>
      <c r="AQ68" s="67" t="n">
        <v>8412406</v>
      </c>
      <c r="AR68" s="0" t="n">
        <v>1</v>
      </c>
    </row>
    <row r="69" customFormat="false" ht="15" hidden="false" customHeight="false" outlineLevel="0" collapsed="false">
      <c r="A69" s="0" t="n">
        <v>47</v>
      </c>
      <c r="B69" s="0" t="n">
        <v>44952</v>
      </c>
      <c r="C69" s="0" t="s">
        <v>271</v>
      </c>
      <c r="D69" s="0" t="s">
        <v>272</v>
      </c>
      <c r="E69" s="0" t="s">
        <v>409</v>
      </c>
      <c r="F69" s="0" t="n">
        <v>37</v>
      </c>
      <c r="G69" s="0" t="s">
        <v>410</v>
      </c>
      <c r="H69" s="0" t="n">
        <v>7989403</v>
      </c>
      <c r="I69" s="0" t="s">
        <v>59</v>
      </c>
      <c r="J69" s="0" t="n">
        <v>0</v>
      </c>
      <c r="K69" s="0" t="n">
        <v>5</v>
      </c>
      <c r="L69" s="0" t="n">
        <v>3</v>
      </c>
      <c r="M69" s="0" t="n">
        <v>0</v>
      </c>
      <c r="N69" s="0" t="n">
        <v>2</v>
      </c>
      <c r="O69" s="0" t="n">
        <v>1</v>
      </c>
      <c r="P69" s="0" t="n">
        <v>0</v>
      </c>
      <c r="Q69" s="0" t="s">
        <v>147</v>
      </c>
      <c r="R69" s="0" t="s">
        <v>60</v>
      </c>
      <c r="S69" s="0" t="n">
        <v>8</v>
      </c>
      <c r="T69" s="0" t="s">
        <v>411</v>
      </c>
      <c r="U69" s="0" t="n">
        <v>100</v>
      </c>
      <c r="V69" s="0" t="n">
        <v>4</v>
      </c>
      <c r="W69" s="0" t="s">
        <v>411</v>
      </c>
      <c r="X69" s="0" t="s">
        <v>276</v>
      </c>
      <c r="Y69" s="0" t="s">
        <v>147</v>
      </c>
      <c r="Z69" s="0" t="s">
        <v>444</v>
      </c>
      <c r="AA69" s="0" t="n">
        <v>0</v>
      </c>
      <c r="AB69" s="0" t="s">
        <v>414</v>
      </c>
      <c r="AC69" s="0" t="n">
        <v>0.916666666666667</v>
      </c>
      <c r="AD69" s="0" t="s">
        <v>431</v>
      </c>
      <c r="AE69" s="0" t="s">
        <v>416</v>
      </c>
      <c r="AF69" s="0" t="n">
        <v>0</v>
      </c>
      <c r="AG69" s="0" t="s">
        <v>428</v>
      </c>
      <c r="AH69" s="0" t="n">
        <v>7</v>
      </c>
      <c r="AI69" s="0" t="n">
        <v>51</v>
      </c>
      <c r="AL69" s="0" t="n">
        <v>-18.1389931</v>
      </c>
      <c r="AM69" s="0" t="n">
        <v>-65.4573679</v>
      </c>
      <c r="AN69" s="67" t="n">
        <v>201611010121</v>
      </c>
      <c r="AO69" s="67" t="n">
        <v>1072771585</v>
      </c>
      <c r="AP69" s="67" t="n">
        <v>837965</v>
      </c>
      <c r="AQ69" s="67" t="n">
        <v>8412431</v>
      </c>
      <c r="AR69" s="0" t="n">
        <v>0</v>
      </c>
    </row>
    <row r="70" customFormat="false" ht="15" hidden="false" customHeight="false" outlineLevel="0" collapsed="false">
      <c r="A70" s="0" t="n">
        <v>89</v>
      </c>
      <c r="B70" s="0" t="n">
        <v>44951</v>
      </c>
      <c r="C70" s="0" t="s">
        <v>273</v>
      </c>
      <c r="D70" s="0" t="s">
        <v>274</v>
      </c>
      <c r="E70" s="0" t="s">
        <v>409</v>
      </c>
      <c r="F70" s="0" t="n">
        <v>27</v>
      </c>
      <c r="G70" s="0" t="s">
        <v>410</v>
      </c>
      <c r="H70" s="0" t="n">
        <v>14218817</v>
      </c>
      <c r="I70" s="0" t="s">
        <v>79</v>
      </c>
      <c r="J70" s="0" t="n">
        <v>1</v>
      </c>
      <c r="K70" s="0" t="n">
        <v>0</v>
      </c>
      <c r="L70" s="0" t="n">
        <v>2</v>
      </c>
      <c r="M70" s="0" t="n">
        <v>0</v>
      </c>
      <c r="N70" s="0" t="n">
        <v>1</v>
      </c>
      <c r="O70" s="0" t="n">
        <v>1</v>
      </c>
      <c r="P70" s="0" t="n">
        <v>0</v>
      </c>
      <c r="Q70" s="0" t="s">
        <v>412</v>
      </c>
      <c r="R70" s="0" t="s">
        <v>65</v>
      </c>
      <c r="S70" s="0" t="n">
        <v>3</v>
      </c>
      <c r="T70" s="0" t="s">
        <v>411</v>
      </c>
      <c r="U70" s="0" t="n">
        <v>2100</v>
      </c>
      <c r="V70" s="0" t="n">
        <v>1</v>
      </c>
      <c r="W70" s="0" t="s">
        <v>423</v>
      </c>
      <c r="X70" s="0" t="s">
        <v>463</v>
      </c>
      <c r="Y70" s="0" t="s">
        <v>412</v>
      </c>
      <c r="Z70" s="0" t="s">
        <v>413</v>
      </c>
      <c r="AA70" s="0" t="n">
        <v>64</v>
      </c>
      <c r="AB70" s="0" t="s">
        <v>426</v>
      </c>
      <c r="AC70" s="0" t="n">
        <v>0.916666666666667</v>
      </c>
      <c r="AD70" s="0" t="s">
        <v>427</v>
      </c>
      <c r="AE70" s="0" t="s">
        <v>416</v>
      </c>
      <c r="AF70" s="0" t="n">
        <v>0</v>
      </c>
      <c r="AG70" s="0" t="s">
        <v>422</v>
      </c>
      <c r="AH70" s="0" t="n">
        <v>0</v>
      </c>
      <c r="AI70" s="0" t="n">
        <v>77</v>
      </c>
      <c r="AL70" s="0" t="n">
        <v>-18.2378418</v>
      </c>
      <c r="AM70" s="0" t="n">
        <v>-65.337878</v>
      </c>
      <c r="AN70" s="67" t="n">
        <v>201611010302</v>
      </c>
      <c r="AO70" s="67" t="n">
        <v>1072770259</v>
      </c>
      <c r="AP70" s="67" t="n">
        <v>837995</v>
      </c>
      <c r="AQ70" s="67" t="n">
        <v>8412409</v>
      </c>
      <c r="AR70" s="0" t="n">
        <v>0</v>
      </c>
      <c r="AS70" s="0" t="n">
        <v>0</v>
      </c>
    </row>
    <row r="71" customFormat="false" ht="15" hidden="false" customHeight="false" outlineLevel="0" collapsed="false">
      <c r="A71" s="0" t="n">
        <v>44</v>
      </c>
      <c r="B71" s="0" t="n">
        <v>44952</v>
      </c>
      <c r="C71" s="0" t="s">
        <v>275</v>
      </c>
      <c r="D71" s="0" t="s">
        <v>107</v>
      </c>
      <c r="E71" s="0" t="s">
        <v>409</v>
      </c>
      <c r="F71" s="0" t="n">
        <v>56</v>
      </c>
      <c r="G71" s="0" t="s">
        <v>410</v>
      </c>
      <c r="H71" s="0" t="n">
        <v>8754994</v>
      </c>
      <c r="I71" s="0" t="s">
        <v>42</v>
      </c>
      <c r="J71" s="0" t="n">
        <v>0</v>
      </c>
      <c r="K71" s="0" t="n">
        <v>1</v>
      </c>
      <c r="L71" s="0" t="n">
        <v>4</v>
      </c>
      <c r="M71" s="0" t="n">
        <v>0</v>
      </c>
      <c r="N71" s="0" t="n">
        <v>3</v>
      </c>
      <c r="O71" s="0" t="n">
        <v>1</v>
      </c>
      <c r="P71" s="0" t="n">
        <v>0</v>
      </c>
      <c r="Q71" s="0" t="s">
        <v>412</v>
      </c>
      <c r="R71" s="0" t="s">
        <v>34</v>
      </c>
      <c r="S71" s="0" t="n">
        <v>5</v>
      </c>
      <c r="T71" s="0" t="s">
        <v>411</v>
      </c>
      <c r="U71" s="0" t="s">
        <v>276</v>
      </c>
      <c r="V71" s="0" t="n">
        <v>4</v>
      </c>
      <c r="W71" s="0" t="s">
        <v>423</v>
      </c>
      <c r="X71" s="0" t="s">
        <v>424</v>
      </c>
      <c r="Y71" s="0" t="s">
        <v>412</v>
      </c>
      <c r="Z71" s="0" t="s">
        <v>425</v>
      </c>
      <c r="AA71" s="0" t="n">
        <v>64</v>
      </c>
      <c r="AB71" s="0" t="s">
        <v>426</v>
      </c>
      <c r="AC71" s="0" t="n">
        <v>0.916666666666667</v>
      </c>
      <c r="AD71" s="0" t="s">
        <v>431</v>
      </c>
      <c r="AE71" s="0" t="s">
        <v>416</v>
      </c>
      <c r="AF71" s="0" t="n">
        <v>0</v>
      </c>
      <c r="AG71" s="0" t="s">
        <v>428</v>
      </c>
      <c r="AH71" s="0" t="n">
        <v>7</v>
      </c>
      <c r="AI71" s="0" t="n">
        <v>33</v>
      </c>
      <c r="AL71" s="0" t="n">
        <v>-18.1683644</v>
      </c>
      <c r="AM71" s="0" t="n">
        <v>-65.4671094</v>
      </c>
      <c r="AR71" s="0" t="n">
        <v>0</v>
      </c>
    </row>
    <row r="72" customFormat="false" ht="15" hidden="false" customHeight="false" outlineLevel="0" collapsed="false">
      <c r="A72" s="0" t="n">
        <v>13</v>
      </c>
      <c r="B72" s="0" t="n">
        <v>44952</v>
      </c>
      <c r="C72" s="0" t="s">
        <v>277</v>
      </c>
      <c r="D72" s="0" t="s">
        <v>124</v>
      </c>
      <c r="E72" s="0" t="s">
        <v>409</v>
      </c>
      <c r="F72" s="0" t="n">
        <v>53</v>
      </c>
      <c r="G72" s="0" t="s">
        <v>410</v>
      </c>
      <c r="H72" s="0" t="n">
        <v>6460664</v>
      </c>
      <c r="I72" s="0" t="s">
        <v>42</v>
      </c>
      <c r="J72" s="0" t="n">
        <v>0</v>
      </c>
      <c r="K72" s="0" t="n">
        <v>2</v>
      </c>
      <c r="L72" s="0" t="n">
        <v>2</v>
      </c>
      <c r="M72" s="0" t="n">
        <v>0</v>
      </c>
      <c r="N72" s="0" t="n">
        <v>1</v>
      </c>
      <c r="O72" s="0" t="n">
        <v>1</v>
      </c>
      <c r="P72" s="0" t="n">
        <v>0</v>
      </c>
      <c r="Q72" s="0" t="s">
        <v>147</v>
      </c>
      <c r="R72" s="0" t="s">
        <v>65</v>
      </c>
      <c r="S72" s="0" t="n">
        <v>4</v>
      </c>
      <c r="T72" s="0" t="s">
        <v>411</v>
      </c>
      <c r="U72" s="0" t="n">
        <v>200</v>
      </c>
      <c r="V72" s="0" t="n">
        <v>3</v>
      </c>
      <c r="W72" s="0" t="s">
        <v>423</v>
      </c>
      <c r="X72" s="0" t="s">
        <v>424</v>
      </c>
      <c r="Y72" s="0" t="s">
        <v>412</v>
      </c>
      <c r="Z72" s="0" t="s">
        <v>430</v>
      </c>
      <c r="AA72" s="0" t="n">
        <v>232</v>
      </c>
      <c r="AB72" s="0" t="s">
        <v>426</v>
      </c>
      <c r="AC72" s="0" t="n">
        <v>0.875</v>
      </c>
      <c r="AD72" s="0" t="s">
        <v>442</v>
      </c>
      <c r="AE72" s="0" t="s">
        <v>416</v>
      </c>
      <c r="AF72" s="0" t="n">
        <v>0</v>
      </c>
      <c r="AG72" s="0" t="s">
        <v>428</v>
      </c>
      <c r="AH72" s="0" t="n">
        <v>7</v>
      </c>
      <c r="AI72" s="0" t="n">
        <v>34</v>
      </c>
      <c r="AL72" s="0" t="n">
        <v>-18.1628391</v>
      </c>
      <c r="AM72" s="0" t="n">
        <v>-65.4623511</v>
      </c>
      <c r="AR72" s="0" t="n">
        <v>0</v>
      </c>
    </row>
    <row r="73" customFormat="false" ht="15" hidden="false" customHeight="false" outlineLevel="0" collapsed="false">
      <c r="A73" s="0" t="n">
        <v>70</v>
      </c>
      <c r="B73" s="0" t="n">
        <v>44951</v>
      </c>
      <c r="C73" s="0" t="s">
        <v>280</v>
      </c>
      <c r="D73" s="0" t="s">
        <v>281</v>
      </c>
      <c r="E73" s="0" t="s">
        <v>409</v>
      </c>
      <c r="F73" s="0" t="n">
        <v>44</v>
      </c>
      <c r="G73" s="0" t="s">
        <v>410</v>
      </c>
      <c r="H73" s="0" t="n">
        <v>8821119</v>
      </c>
      <c r="I73" s="0" t="s">
        <v>51</v>
      </c>
      <c r="J73" s="0" t="n">
        <v>1</v>
      </c>
      <c r="K73" s="0" t="n">
        <v>4</v>
      </c>
      <c r="L73" s="0" t="n">
        <v>3</v>
      </c>
      <c r="M73" s="0" t="n">
        <v>0</v>
      </c>
      <c r="N73" s="0" t="n">
        <v>2</v>
      </c>
      <c r="O73" s="0" t="n">
        <v>1</v>
      </c>
      <c r="P73" s="0" t="n">
        <v>0</v>
      </c>
      <c r="Q73" s="0" t="s">
        <v>147</v>
      </c>
      <c r="R73" s="0" t="s">
        <v>60</v>
      </c>
      <c r="S73" s="0" t="n">
        <v>8</v>
      </c>
      <c r="T73" s="0" t="s">
        <v>411</v>
      </c>
      <c r="U73" s="0" t="n">
        <v>200</v>
      </c>
      <c r="V73" s="0" t="n">
        <v>3</v>
      </c>
      <c r="W73" s="0" t="s">
        <v>411</v>
      </c>
      <c r="X73" s="0" t="s">
        <v>276</v>
      </c>
      <c r="Y73" s="0" t="s">
        <v>412</v>
      </c>
      <c r="Z73" s="0" t="s">
        <v>430</v>
      </c>
      <c r="AA73" s="0" t="n">
        <v>120</v>
      </c>
      <c r="AB73" s="0" t="s">
        <v>426</v>
      </c>
      <c r="AC73" s="0" t="n">
        <v>0.833333333333333</v>
      </c>
      <c r="AD73" s="0" t="s">
        <v>427</v>
      </c>
      <c r="AE73" s="0" t="s">
        <v>416</v>
      </c>
      <c r="AF73" s="0" t="n">
        <v>0</v>
      </c>
      <c r="AG73" s="0" t="s">
        <v>428</v>
      </c>
      <c r="AH73" s="0" t="n">
        <v>14</v>
      </c>
      <c r="AI73" s="0" t="n">
        <v>78</v>
      </c>
      <c r="AJ73" s="0" t="n">
        <v>1</v>
      </c>
      <c r="AK73" s="2" t="s">
        <v>282</v>
      </c>
      <c r="AL73" s="0" t="n">
        <v>-18.2387484</v>
      </c>
      <c r="AM73" s="0" t="n">
        <v>-65.3450876</v>
      </c>
      <c r="AN73" s="67" t="n">
        <v>201611010297</v>
      </c>
      <c r="AO73" s="67" t="n">
        <v>1072770256</v>
      </c>
      <c r="AP73" s="67" t="n">
        <v>837977</v>
      </c>
      <c r="AQ73" s="67" t="n">
        <v>8412425</v>
      </c>
      <c r="AR73" s="0" t="n">
        <v>1</v>
      </c>
    </row>
    <row r="74" customFormat="false" ht="15" hidden="false" customHeight="false" outlineLevel="0" collapsed="false">
      <c r="A74" s="0" t="n">
        <v>73</v>
      </c>
      <c r="B74" s="0" t="n">
        <v>44951</v>
      </c>
      <c r="C74" s="0" t="s">
        <v>280</v>
      </c>
      <c r="D74" s="0" t="s">
        <v>285</v>
      </c>
      <c r="E74" s="0" t="s">
        <v>409</v>
      </c>
      <c r="F74" s="0" t="n">
        <v>59</v>
      </c>
      <c r="G74" s="0" t="s">
        <v>410</v>
      </c>
      <c r="H74" s="0" t="n">
        <v>13386187</v>
      </c>
      <c r="I74" s="0" t="s">
        <v>51</v>
      </c>
      <c r="J74" s="0" t="n">
        <v>0</v>
      </c>
      <c r="K74" s="0" t="n">
        <v>2</v>
      </c>
      <c r="L74" s="0" t="n">
        <v>0</v>
      </c>
      <c r="M74" s="0" t="n">
        <v>2</v>
      </c>
      <c r="N74" s="0" t="n">
        <v>1</v>
      </c>
      <c r="O74" s="0" t="n">
        <v>1</v>
      </c>
      <c r="P74" s="0" t="n">
        <v>0</v>
      </c>
      <c r="Q74" s="0" t="s">
        <v>412</v>
      </c>
      <c r="R74" s="0" t="s">
        <v>65</v>
      </c>
      <c r="S74" s="0" t="n">
        <v>4</v>
      </c>
      <c r="T74" s="0" t="s">
        <v>423</v>
      </c>
      <c r="U74" s="0" t="n">
        <v>200</v>
      </c>
      <c r="V74" s="0" t="n">
        <v>4</v>
      </c>
      <c r="W74" s="0" t="s">
        <v>411</v>
      </c>
      <c r="X74" s="0" t="s">
        <v>276</v>
      </c>
      <c r="Y74" s="0" t="s">
        <v>412</v>
      </c>
      <c r="Z74" s="0" t="s">
        <v>413</v>
      </c>
      <c r="AA74" s="0" t="n">
        <v>32</v>
      </c>
      <c r="AB74" s="0" t="s">
        <v>414</v>
      </c>
      <c r="AC74" s="0" t="n">
        <v>0.916666666666667</v>
      </c>
      <c r="AD74" s="0" t="s">
        <v>427</v>
      </c>
      <c r="AE74" s="0" t="s">
        <v>416</v>
      </c>
      <c r="AF74" s="0" t="n">
        <v>0</v>
      </c>
      <c r="AG74" s="0" t="s">
        <v>428</v>
      </c>
      <c r="AH74" s="0" t="n">
        <v>7</v>
      </c>
      <c r="AI74" s="0" t="n">
        <v>79</v>
      </c>
      <c r="AL74" s="0" t="n">
        <v>-18.2334768</v>
      </c>
      <c r="AM74" s="0" t="n">
        <v>-65.3449306</v>
      </c>
      <c r="AN74" s="67" t="n">
        <v>201611010030</v>
      </c>
      <c r="AO74" s="67" t="n">
        <v>1072770258</v>
      </c>
      <c r="AP74" s="67" t="n">
        <v>837984</v>
      </c>
      <c r="AQ74" s="67" t="n">
        <v>8412450</v>
      </c>
      <c r="AR74" s="0" t="n">
        <v>0</v>
      </c>
    </row>
    <row r="75" customFormat="false" ht="15" hidden="false" customHeight="false" outlineLevel="0" collapsed="false">
      <c r="A75" s="0" t="n">
        <v>18</v>
      </c>
      <c r="B75" s="0" t="n">
        <v>44952</v>
      </c>
      <c r="C75" s="0" t="s">
        <v>287</v>
      </c>
      <c r="D75" s="0" t="s">
        <v>199</v>
      </c>
      <c r="E75" s="0" t="s">
        <v>419</v>
      </c>
      <c r="F75" s="0" t="n">
        <v>54</v>
      </c>
      <c r="G75" s="0" t="s">
        <v>420</v>
      </c>
      <c r="H75" s="0" t="n">
        <v>7970427</v>
      </c>
      <c r="I75" s="0" t="s">
        <v>42</v>
      </c>
      <c r="J75" s="0" t="n">
        <v>0</v>
      </c>
      <c r="K75" s="0" t="n">
        <v>3</v>
      </c>
      <c r="L75" s="0" t="n">
        <v>1</v>
      </c>
      <c r="M75" s="0" t="n">
        <v>1</v>
      </c>
      <c r="N75" s="0" t="n">
        <v>1</v>
      </c>
      <c r="O75" s="0" t="n">
        <v>1</v>
      </c>
      <c r="P75" s="0" t="n">
        <v>0</v>
      </c>
      <c r="Q75" s="0" t="s">
        <v>147</v>
      </c>
      <c r="R75" s="0" t="s">
        <v>65</v>
      </c>
      <c r="S75" s="0" t="n">
        <v>5</v>
      </c>
      <c r="T75" s="0" t="s">
        <v>411</v>
      </c>
      <c r="U75" s="0" t="n">
        <v>200</v>
      </c>
      <c r="V75" s="0" t="n">
        <v>4</v>
      </c>
      <c r="W75" s="0" t="s">
        <v>411</v>
      </c>
      <c r="X75" s="0" t="s">
        <v>276</v>
      </c>
      <c r="Y75" s="0" t="s">
        <v>412</v>
      </c>
      <c r="Z75" s="0" t="s">
        <v>413</v>
      </c>
      <c r="AA75" s="0" t="n">
        <v>48</v>
      </c>
      <c r="AB75" s="0" t="s">
        <v>414</v>
      </c>
      <c r="AC75" s="0" t="n">
        <v>0.916666666666667</v>
      </c>
      <c r="AD75" s="0" t="s">
        <v>448</v>
      </c>
      <c r="AE75" s="0" t="s">
        <v>416</v>
      </c>
      <c r="AF75" s="0" t="n">
        <v>0</v>
      </c>
      <c r="AG75" s="0" t="s">
        <v>434</v>
      </c>
      <c r="AH75" s="0" t="n">
        <v>7</v>
      </c>
      <c r="AI75" s="0" t="n">
        <v>35</v>
      </c>
      <c r="AL75" s="0" t="n">
        <v>-18.1680178</v>
      </c>
      <c r="AM75" s="0" t="n">
        <v>-65.46756</v>
      </c>
      <c r="AR75" s="0" t="n">
        <v>0</v>
      </c>
    </row>
    <row r="76" customFormat="false" ht="15" hidden="false" customHeight="false" outlineLevel="0" collapsed="false">
      <c r="A76" s="0" t="n">
        <v>80</v>
      </c>
      <c r="B76" s="0" t="n">
        <v>44951</v>
      </c>
      <c r="C76" s="0" t="s">
        <v>288</v>
      </c>
      <c r="D76" s="0" t="s">
        <v>289</v>
      </c>
      <c r="E76" s="0" t="s">
        <v>409</v>
      </c>
      <c r="F76" s="0" t="n">
        <v>53</v>
      </c>
      <c r="G76" s="0" t="s">
        <v>410</v>
      </c>
      <c r="H76" s="0" t="n">
        <v>14190632</v>
      </c>
      <c r="I76" s="0" t="s">
        <v>51</v>
      </c>
      <c r="J76" s="0" t="n">
        <v>0</v>
      </c>
      <c r="K76" s="0" t="n">
        <v>1</v>
      </c>
      <c r="L76" s="0" t="n">
        <v>2</v>
      </c>
      <c r="M76" s="0" t="n">
        <v>0</v>
      </c>
      <c r="N76" s="0" t="n">
        <v>1</v>
      </c>
      <c r="O76" s="0" t="n">
        <v>1</v>
      </c>
      <c r="P76" s="0" t="n">
        <v>0</v>
      </c>
      <c r="Q76" s="0" t="s">
        <v>147</v>
      </c>
      <c r="R76" s="0" t="s">
        <v>65</v>
      </c>
      <c r="S76" s="0" t="n">
        <v>3</v>
      </c>
      <c r="T76" s="0" t="s">
        <v>411</v>
      </c>
      <c r="U76" s="0" t="n">
        <v>400</v>
      </c>
      <c r="V76" s="0" t="n">
        <v>4</v>
      </c>
      <c r="W76" s="0" t="s">
        <v>411</v>
      </c>
      <c r="X76" s="0" t="s">
        <v>276</v>
      </c>
      <c r="Y76" s="0" t="s">
        <v>412</v>
      </c>
      <c r="Z76" s="0" t="s">
        <v>425</v>
      </c>
      <c r="AA76" s="0" t="n">
        <v>62</v>
      </c>
      <c r="AB76" s="0" t="s">
        <v>426</v>
      </c>
      <c r="AC76" s="0" t="n">
        <v>0.916666666666667</v>
      </c>
      <c r="AD76" s="0" t="s">
        <v>427</v>
      </c>
      <c r="AE76" s="0" t="s">
        <v>416</v>
      </c>
      <c r="AF76" s="0" t="n">
        <v>0</v>
      </c>
      <c r="AG76" s="0" t="s">
        <v>428</v>
      </c>
      <c r="AH76" s="0" t="n">
        <v>7</v>
      </c>
      <c r="AN76" s="67" t="n">
        <v>201611010116</v>
      </c>
      <c r="AO76" s="67" t="n">
        <v>1072770490</v>
      </c>
      <c r="AP76" s="67" t="n">
        <v>837993</v>
      </c>
      <c r="AQ76" s="67" t="n">
        <v>8412429</v>
      </c>
      <c r="AR76" s="0" t="n">
        <v>0</v>
      </c>
    </row>
    <row r="77" customFormat="false" ht="15" hidden="false" customHeight="false" outlineLevel="0" collapsed="false">
      <c r="A77" s="0" t="n">
        <v>68</v>
      </c>
      <c r="B77" s="0" t="n">
        <v>44951</v>
      </c>
      <c r="C77" s="0" t="s">
        <v>290</v>
      </c>
      <c r="D77" s="0" t="s">
        <v>245</v>
      </c>
      <c r="E77" s="0" t="s">
        <v>409</v>
      </c>
      <c r="F77" s="0" t="n">
        <v>50</v>
      </c>
      <c r="G77" s="0" t="s">
        <v>410</v>
      </c>
      <c r="H77" s="0" t="n">
        <v>14190253</v>
      </c>
      <c r="I77" s="0" t="s">
        <v>51</v>
      </c>
      <c r="J77" s="0" t="n">
        <v>2</v>
      </c>
      <c r="K77" s="0" t="n">
        <v>3</v>
      </c>
      <c r="L77" s="0" t="n">
        <v>2</v>
      </c>
      <c r="M77" s="0" t="n">
        <v>0</v>
      </c>
      <c r="N77" s="0" t="n">
        <v>1</v>
      </c>
      <c r="O77" s="0" t="n">
        <v>1</v>
      </c>
      <c r="P77" s="0" t="n">
        <v>0</v>
      </c>
      <c r="Q77" s="0" t="s">
        <v>147</v>
      </c>
      <c r="R77" s="0" t="s">
        <v>76</v>
      </c>
      <c r="S77" s="0" t="n">
        <v>7</v>
      </c>
      <c r="T77" s="0" t="s">
        <v>411</v>
      </c>
      <c r="U77" s="0" t="n">
        <v>200</v>
      </c>
      <c r="V77" s="0" t="n">
        <v>3</v>
      </c>
      <c r="W77" s="0" t="s">
        <v>411</v>
      </c>
      <c r="X77" s="0" t="s">
        <v>276</v>
      </c>
      <c r="Y77" s="0" t="s">
        <v>412</v>
      </c>
      <c r="Z77" s="0" t="s">
        <v>430</v>
      </c>
      <c r="AA77" s="0" t="n">
        <v>84</v>
      </c>
      <c r="AB77" s="0" t="s">
        <v>426</v>
      </c>
      <c r="AC77" s="0" t="n">
        <v>0.833333333333333</v>
      </c>
      <c r="AD77" s="0" t="s">
        <v>427</v>
      </c>
      <c r="AE77" s="0" t="s">
        <v>416</v>
      </c>
      <c r="AF77" s="0" t="n">
        <v>0</v>
      </c>
      <c r="AG77" s="0" t="s">
        <v>428</v>
      </c>
      <c r="AH77" s="0" t="n">
        <v>14</v>
      </c>
      <c r="AI77" s="0" t="n">
        <v>81</v>
      </c>
      <c r="AJ77" s="0" t="n">
        <v>0</v>
      </c>
      <c r="AK77" s="2" t="n">
        <v>0</v>
      </c>
      <c r="AL77" s="0" t="n">
        <v>-18.2403532</v>
      </c>
      <c r="AM77" s="0" t="n">
        <v>-65.3414935</v>
      </c>
      <c r="AN77" s="67" t="n">
        <v>201611010174</v>
      </c>
      <c r="AO77" s="67" t="n">
        <v>1072770540</v>
      </c>
      <c r="AP77" s="67" t="n">
        <v>837958</v>
      </c>
      <c r="AQ77" s="67" t="n">
        <v>8412408</v>
      </c>
      <c r="AR77" s="0" t="n">
        <v>0</v>
      </c>
    </row>
    <row r="78" customFormat="false" ht="15" hidden="false" customHeight="false" outlineLevel="0" collapsed="false">
      <c r="A78" s="0" t="n">
        <v>10</v>
      </c>
      <c r="B78" s="0" t="n">
        <v>44952</v>
      </c>
      <c r="C78" s="0" t="s">
        <v>293</v>
      </c>
      <c r="D78" s="0" t="s">
        <v>294</v>
      </c>
      <c r="E78" s="0" t="s">
        <v>419</v>
      </c>
      <c r="F78" s="0" t="n">
        <v>97</v>
      </c>
      <c r="G78" s="0" t="s">
        <v>420</v>
      </c>
      <c r="H78" s="0" t="n">
        <v>13425739</v>
      </c>
      <c r="I78" s="0" t="s">
        <v>42</v>
      </c>
      <c r="J78" s="0" t="n">
        <v>0</v>
      </c>
      <c r="K78" s="0" t="n">
        <v>0</v>
      </c>
      <c r="L78" s="0" t="n">
        <v>0</v>
      </c>
      <c r="M78" s="0" t="n">
        <v>1</v>
      </c>
      <c r="N78" s="0" t="n">
        <v>0</v>
      </c>
      <c r="O78" s="0" t="n">
        <v>1</v>
      </c>
      <c r="P78" s="0" t="n">
        <v>0</v>
      </c>
      <c r="Q78" s="0" t="s">
        <v>412</v>
      </c>
      <c r="R78" s="0" t="s">
        <v>93</v>
      </c>
      <c r="S78" s="0" t="n">
        <v>1</v>
      </c>
      <c r="T78" s="0" t="s">
        <v>411</v>
      </c>
      <c r="U78" s="0" t="n">
        <v>100</v>
      </c>
      <c r="V78" s="0" t="n">
        <v>3</v>
      </c>
      <c r="W78" s="0" t="s">
        <v>411</v>
      </c>
      <c r="X78" s="0" t="s">
        <v>276</v>
      </c>
      <c r="Y78" s="0" t="s">
        <v>412</v>
      </c>
      <c r="Z78" s="0" t="s">
        <v>413</v>
      </c>
      <c r="AA78" s="0" t="n">
        <v>24</v>
      </c>
      <c r="AB78" s="0" t="s">
        <v>414</v>
      </c>
      <c r="AC78" s="0" t="n">
        <v>0.833333333333333</v>
      </c>
      <c r="AD78" s="0" t="s">
        <v>442</v>
      </c>
      <c r="AE78" s="0" t="s">
        <v>416</v>
      </c>
      <c r="AF78" s="0" t="n">
        <v>0</v>
      </c>
      <c r="AG78" s="0" t="s">
        <v>428</v>
      </c>
      <c r="AH78" s="0" t="n">
        <v>7</v>
      </c>
      <c r="AI78" s="0" t="n">
        <v>36</v>
      </c>
      <c r="AL78" s="0" t="n">
        <v>-18.1590866</v>
      </c>
      <c r="AM78" s="0" t="n">
        <v>-65.4556893</v>
      </c>
      <c r="AR78" s="0" t="n">
        <v>0</v>
      </c>
    </row>
    <row r="79" customFormat="false" ht="15" hidden="false" customHeight="false" outlineLevel="0" collapsed="false">
      <c r="A79" s="0" t="n">
        <v>77</v>
      </c>
      <c r="B79" s="0" t="n">
        <v>44951</v>
      </c>
      <c r="C79" s="0" t="s">
        <v>296</v>
      </c>
      <c r="D79" s="0" t="s">
        <v>297</v>
      </c>
      <c r="E79" s="0" t="s">
        <v>419</v>
      </c>
      <c r="F79" s="0" t="n">
        <v>43</v>
      </c>
      <c r="G79" s="0" t="s">
        <v>420</v>
      </c>
      <c r="H79" s="0" t="n">
        <v>9308806</v>
      </c>
      <c r="I79" s="0" t="s">
        <v>51</v>
      </c>
      <c r="J79" s="0" t="n">
        <v>1</v>
      </c>
      <c r="K79" s="0" t="n">
        <v>0</v>
      </c>
      <c r="L79" s="0" t="n">
        <v>1</v>
      </c>
      <c r="M79" s="0" t="n">
        <v>1</v>
      </c>
      <c r="N79" s="0" t="n">
        <v>1</v>
      </c>
      <c r="O79" s="0" t="n">
        <v>1</v>
      </c>
      <c r="P79" s="0" t="n">
        <v>0</v>
      </c>
      <c r="Q79" s="0" t="s">
        <v>412</v>
      </c>
      <c r="R79" s="0" t="s">
        <v>65</v>
      </c>
      <c r="S79" s="0" t="n">
        <v>4</v>
      </c>
      <c r="T79" s="0" t="s">
        <v>411</v>
      </c>
      <c r="U79" s="0" t="n">
        <v>300</v>
      </c>
      <c r="V79" s="0" t="n">
        <v>2</v>
      </c>
      <c r="W79" s="0" t="s">
        <v>423</v>
      </c>
      <c r="X79" s="0" t="s">
        <v>424</v>
      </c>
      <c r="Y79" s="0" t="s">
        <v>412</v>
      </c>
      <c r="Z79" s="0" t="s">
        <v>458</v>
      </c>
      <c r="AA79" s="0" t="n">
        <v>110</v>
      </c>
      <c r="AB79" s="0" t="s">
        <v>414</v>
      </c>
      <c r="AC79" s="0" t="n">
        <v>0.916666666666667</v>
      </c>
      <c r="AD79" s="0" t="s">
        <v>427</v>
      </c>
      <c r="AE79" s="0" t="s">
        <v>416</v>
      </c>
      <c r="AF79" s="0" t="n">
        <v>0</v>
      </c>
      <c r="AG79" s="0" t="s">
        <v>428</v>
      </c>
      <c r="AH79" s="0" t="n">
        <v>7</v>
      </c>
      <c r="AI79" s="0" t="n">
        <v>82</v>
      </c>
      <c r="AL79" s="0" t="n">
        <v>-18.2315712</v>
      </c>
      <c r="AM79" s="0" t="n">
        <v>-65.3463147</v>
      </c>
      <c r="AN79" s="67" t="n">
        <v>201611010341</v>
      </c>
      <c r="AO79" s="67" t="n">
        <v>1072770534</v>
      </c>
      <c r="AP79" s="67" t="n">
        <v>837963</v>
      </c>
      <c r="AQ79" s="67" t="n">
        <v>8412412</v>
      </c>
      <c r="AR79" s="0" t="n">
        <v>0</v>
      </c>
    </row>
    <row r="80" customFormat="false" ht="15" hidden="false" customHeight="false" outlineLevel="0" collapsed="false">
      <c r="A80" s="0" t="n">
        <v>90</v>
      </c>
      <c r="B80" s="0" t="n">
        <v>44952</v>
      </c>
      <c r="C80" s="0" t="s">
        <v>298</v>
      </c>
      <c r="D80" s="0" t="s">
        <v>222</v>
      </c>
      <c r="E80" s="0" t="s">
        <v>409</v>
      </c>
      <c r="F80" s="0" t="n">
        <v>39</v>
      </c>
      <c r="G80" s="0" t="s">
        <v>410</v>
      </c>
      <c r="H80" s="0" t="n">
        <v>13657150</v>
      </c>
      <c r="I80" s="0" t="s">
        <v>33</v>
      </c>
      <c r="J80" s="0" t="n">
        <v>1</v>
      </c>
      <c r="K80" s="0" t="n">
        <v>5</v>
      </c>
      <c r="L80" s="0" t="n">
        <v>2</v>
      </c>
      <c r="M80" s="0" t="n">
        <v>0</v>
      </c>
      <c r="N80" s="0" t="n">
        <v>1</v>
      </c>
      <c r="O80" s="0" t="n">
        <v>1</v>
      </c>
      <c r="P80" s="0" t="n">
        <v>0</v>
      </c>
      <c r="Q80" s="0" t="s">
        <v>147</v>
      </c>
      <c r="R80" s="0" t="s">
        <v>76</v>
      </c>
      <c r="S80" s="0" t="n">
        <v>8</v>
      </c>
      <c r="T80" s="0" t="s">
        <v>411</v>
      </c>
      <c r="U80" s="0" t="n">
        <v>0</v>
      </c>
      <c r="V80" s="0" t="n">
        <v>2</v>
      </c>
      <c r="W80" s="0" t="s">
        <v>423</v>
      </c>
      <c r="X80" s="0" t="s">
        <v>424</v>
      </c>
      <c r="Y80" s="0" t="s">
        <v>412</v>
      </c>
      <c r="Z80" s="0" t="s">
        <v>465</v>
      </c>
      <c r="AA80" s="0" t="n">
        <v>16</v>
      </c>
      <c r="AB80" s="0" t="s">
        <v>414</v>
      </c>
      <c r="AC80" s="0" t="n">
        <v>0.916666666666667</v>
      </c>
      <c r="AD80" s="0" t="s">
        <v>415</v>
      </c>
      <c r="AE80" s="0" t="s">
        <v>433</v>
      </c>
      <c r="AF80" s="0" t="n">
        <v>70</v>
      </c>
      <c r="AG80" s="0" t="s">
        <v>417</v>
      </c>
      <c r="AH80" s="0" t="n">
        <v>7</v>
      </c>
      <c r="AI80" s="0" t="n">
        <v>99</v>
      </c>
      <c r="AL80" s="0" t="n">
        <v>-18.1373369</v>
      </c>
      <c r="AM80" s="0" t="n">
        <v>-65.5153262</v>
      </c>
      <c r="AN80" s="67" t="n">
        <v>201611011685</v>
      </c>
      <c r="AO80" s="67" t="n">
        <v>1072770008</v>
      </c>
      <c r="AP80" s="67" t="n">
        <v>837971</v>
      </c>
      <c r="AQ80" s="67" t="n">
        <v>8412410</v>
      </c>
      <c r="AR80" s="0" t="n">
        <v>0</v>
      </c>
    </row>
    <row r="81" customFormat="false" ht="15" hidden="false" customHeight="false" outlineLevel="0" collapsed="false">
      <c r="A81" s="0" t="n">
        <v>3</v>
      </c>
      <c r="B81" s="0" t="n">
        <v>44952</v>
      </c>
      <c r="C81" s="0" t="s">
        <v>301</v>
      </c>
      <c r="D81" s="0" t="s">
        <v>302</v>
      </c>
      <c r="E81" s="0" t="s">
        <v>409</v>
      </c>
      <c r="F81" s="0" t="n">
        <v>86</v>
      </c>
      <c r="G81" s="0" t="s">
        <v>410</v>
      </c>
      <c r="H81" s="0" t="n">
        <v>934504</v>
      </c>
      <c r="I81" s="0" t="s">
        <v>42</v>
      </c>
      <c r="J81" s="0" t="n">
        <v>0</v>
      </c>
      <c r="K81" s="0" t="n">
        <v>0</v>
      </c>
      <c r="L81" s="0" t="n">
        <v>0</v>
      </c>
      <c r="M81" s="0" t="n">
        <v>1</v>
      </c>
      <c r="N81" s="0" t="n">
        <v>1</v>
      </c>
      <c r="O81" s="0" t="n">
        <v>0</v>
      </c>
      <c r="P81" s="0" t="n">
        <v>0</v>
      </c>
      <c r="Q81" s="0" t="s">
        <v>412</v>
      </c>
      <c r="R81" s="0" t="s">
        <v>93</v>
      </c>
      <c r="S81" s="0" t="n">
        <v>1</v>
      </c>
      <c r="T81" s="0" t="s">
        <v>411</v>
      </c>
      <c r="U81" s="0" t="n">
        <v>0</v>
      </c>
      <c r="V81" s="0" t="n">
        <v>4</v>
      </c>
      <c r="W81" s="0" t="s">
        <v>423</v>
      </c>
      <c r="X81" s="0" t="s">
        <v>429</v>
      </c>
      <c r="Y81" s="0" t="s">
        <v>147</v>
      </c>
      <c r="Z81" s="0" t="s">
        <v>466</v>
      </c>
      <c r="AA81" s="0" t="n">
        <v>0</v>
      </c>
      <c r="AB81" s="0" t="s">
        <v>426</v>
      </c>
      <c r="AC81" s="0" t="n">
        <v>0.833333333333333</v>
      </c>
      <c r="AD81" s="0" t="s">
        <v>431</v>
      </c>
      <c r="AE81" s="0" t="s">
        <v>433</v>
      </c>
      <c r="AF81" s="0" t="n">
        <v>30</v>
      </c>
      <c r="AG81" s="0" t="s">
        <v>445</v>
      </c>
      <c r="AH81" s="0" t="n">
        <v>0</v>
      </c>
      <c r="AI81" s="0" t="n">
        <v>37</v>
      </c>
      <c r="AL81" s="0" t="n">
        <v>-18.1648957</v>
      </c>
      <c r="AM81" s="0" t="n">
        <v>-65.4710447</v>
      </c>
      <c r="AR81" s="0" t="n">
        <v>0</v>
      </c>
    </row>
    <row r="82" s="46" customFormat="true" ht="15" hidden="false" customHeight="false" outlineLevel="0" collapsed="false">
      <c r="A82" s="46" t="n">
        <v>66</v>
      </c>
      <c r="B82" s="46" t="n">
        <v>44951</v>
      </c>
      <c r="C82" s="46" t="s">
        <v>305</v>
      </c>
      <c r="D82" s="46" t="s">
        <v>306</v>
      </c>
      <c r="E82" s="46" t="s">
        <v>409</v>
      </c>
      <c r="F82" s="46" t="n">
        <v>57</v>
      </c>
      <c r="G82" s="46" t="s">
        <v>410</v>
      </c>
      <c r="H82" s="46" t="n">
        <v>13625295</v>
      </c>
      <c r="I82" s="46" t="s">
        <v>51</v>
      </c>
      <c r="J82" s="46" t="n">
        <v>0</v>
      </c>
      <c r="K82" s="46" t="n">
        <v>2</v>
      </c>
      <c r="L82" s="46" t="n">
        <v>2</v>
      </c>
      <c r="M82" s="46" t="n">
        <v>0</v>
      </c>
      <c r="N82" s="46" t="n">
        <v>1</v>
      </c>
      <c r="O82" s="46" t="n">
        <v>1</v>
      </c>
      <c r="P82" s="46" t="n">
        <v>0</v>
      </c>
      <c r="Q82" s="46" t="s">
        <v>412</v>
      </c>
      <c r="R82" s="46" t="s">
        <v>65</v>
      </c>
      <c r="S82" s="46" t="n">
        <v>4</v>
      </c>
      <c r="T82" s="46" t="s">
        <v>411</v>
      </c>
      <c r="U82" s="46" t="n">
        <v>200</v>
      </c>
      <c r="V82" s="46" t="n">
        <v>3</v>
      </c>
      <c r="W82" s="46" t="s">
        <v>411</v>
      </c>
      <c r="X82" s="46" t="s">
        <v>276</v>
      </c>
      <c r="Y82" s="46" t="s">
        <v>412</v>
      </c>
      <c r="Z82" s="46" t="s">
        <v>413</v>
      </c>
      <c r="AA82" s="46" t="n">
        <v>32</v>
      </c>
      <c r="AB82" s="46" t="s">
        <v>426</v>
      </c>
      <c r="AC82" s="46" t="n">
        <v>0.875</v>
      </c>
      <c r="AD82" s="46" t="s">
        <v>427</v>
      </c>
      <c r="AE82" s="46" t="s">
        <v>416</v>
      </c>
      <c r="AF82" s="46" t="n">
        <v>0</v>
      </c>
      <c r="AG82" s="46" t="s">
        <v>417</v>
      </c>
      <c r="AH82" s="46" t="n">
        <v>7</v>
      </c>
      <c r="AI82" s="46" t="n">
        <v>83</v>
      </c>
      <c r="AJ82" s="46" t="n">
        <v>1</v>
      </c>
      <c r="AK82" s="2" t="s">
        <v>307</v>
      </c>
      <c r="AL82" s="46" t="n">
        <v>-18.2285092</v>
      </c>
      <c r="AM82" s="46" t="n">
        <v>-65.3465505</v>
      </c>
      <c r="AN82" s="67" t="n">
        <v>201611010321</v>
      </c>
      <c r="AO82" s="67" t="n">
        <v>1072770537</v>
      </c>
      <c r="AP82" s="67" t="n">
        <v>837983</v>
      </c>
      <c r="AQ82" s="67" t="n">
        <v>8412405</v>
      </c>
      <c r="AR82" s="46" t="n">
        <v>0</v>
      </c>
    </row>
    <row r="83" customFormat="false" ht="15" hidden="false" customHeight="false" outlineLevel="0" collapsed="false">
      <c r="A83" s="0" t="n">
        <v>35</v>
      </c>
      <c r="B83" s="0" t="n">
        <v>44952</v>
      </c>
      <c r="C83" s="0" t="s">
        <v>311</v>
      </c>
      <c r="D83" s="0" t="s">
        <v>312</v>
      </c>
      <c r="E83" s="0" t="s">
        <v>409</v>
      </c>
      <c r="F83" s="0" t="n">
        <v>49</v>
      </c>
      <c r="G83" s="0" t="s">
        <v>410</v>
      </c>
      <c r="H83" s="0" t="n">
        <v>5235278</v>
      </c>
      <c r="I83" s="0" t="s">
        <v>42</v>
      </c>
      <c r="J83" s="0" t="n">
        <v>0</v>
      </c>
      <c r="K83" s="0" t="n">
        <v>0</v>
      </c>
      <c r="L83" s="0" t="n">
        <v>4</v>
      </c>
      <c r="M83" s="0" t="n">
        <v>2</v>
      </c>
      <c r="N83" s="0" t="n">
        <v>4</v>
      </c>
      <c r="O83" s="0" t="n">
        <v>2</v>
      </c>
      <c r="P83" s="0" t="n">
        <v>0</v>
      </c>
      <c r="Q83" s="0" t="s">
        <v>412</v>
      </c>
      <c r="R83" s="0" t="s">
        <v>47</v>
      </c>
      <c r="S83" s="0" t="n">
        <v>6</v>
      </c>
      <c r="T83" s="0" t="s">
        <v>411</v>
      </c>
      <c r="U83" s="0" t="n">
        <v>400</v>
      </c>
      <c r="V83" s="0" t="n">
        <v>3</v>
      </c>
      <c r="W83" s="0" t="s">
        <v>411</v>
      </c>
      <c r="X83" s="0" t="s">
        <v>276</v>
      </c>
      <c r="Y83" s="0" t="s">
        <v>412</v>
      </c>
      <c r="Z83" s="0" t="s">
        <v>452</v>
      </c>
      <c r="AA83" s="0" t="n">
        <v>50</v>
      </c>
      <c r="AB83" s="0" t="s">
        <v>414</v>
      </c>
      <c r="AC83" s="0" t="n">
        <v>0.916666666666666</v>
      </c>
      <c r="AD83" s="0" t="s">
        <v>187</v>
      </c>
      <c r="AE83" s="0" t="s">
        <v>416</v>
      </c>
      <c r="AF83" s="0" t="n">
        <v>0</v>
      </c>
      <c r="AG83" s="0" t="s">
        <v>417</v>
      </c>
      <c r="AH83" s="0" t="n">
        <v>7</v>
      </c>
      <c r="AI83" s="0" t="n">
        <v>38</v>
      </c>
      <c r="AJ83" s="0" t="n">
        <v>1</v>
      </c>
      <c r="AK83" s="2" t="s">
        <v>313</v>
      </c>
      <c r="AL83" s="0" t="n">
        <v>-18.1484972</v>
      </c>
      <c r="AM83" s="0" t="n">
        <v>-65.4761026</v>
      </c>
      <c r="AR83" s="0" t="n">
        <v>0</v>
      </c>
    </row>
    <row r="84" customFormat="false" ht="15" hidden="false" customHeight="false" outlineLevel="0" collapsed="false">
      <c r="A84" s="71" t="n">
        <v>24</v>
      </c>
      <c r="B84" s="71" t="n">
        <v>44952</v>
      </c>
      <c r="C84" s="71" t="s">
        <v>315</v>
      </c>
      <c r="D84" s="71" t="s">
        <v>316</v>
      </c>
      <c r="E84" s="71" t="s">
        <v>409</v>
      </c>
      <c r="F84" s="71" t="n">
        <v>39</v>
      </c>
      <c r="G84" s="71" t="s">
        <v>410</v>
      </c>
      <c r="H84" s="71" t="n">
        <v>8793372</v>
      </c>
      <c r="I84" s="71" t="s">
        <v>42</v>
      </c>
      <c r="J84" s="71" t="n">
        <v>0</v>
      </c>
      <c r="K84" s="71" t="n">
        <v>1</v>
      </c>
      <c r="L84" s="71" t="n">
        <v>2</v>
      </c>
      <c r="M84" s="71" t="n">
        <v>0</v>
      </c>
      <c r="N84" s="71" t="n">
        <v>1</v>
      </c>
      <c r="O84" s="71" t="n">
        <v>1</v>
      </c>
      <c r="P84" s="71" t="n">
        <v>0</v>
      </c>
      <c r="Q84" s="71" t="s">
        <v>147</v>
      </c>
      <c r="R84" s="71" t="s">
        <v>65</v>
      </c>
      <c r="S84" s="71" t="n">
        <v>3</v>
      </c>
      <c r="T84" s="71" t="s">
        <v>411</v>
      </c>
      <c r="U84" s="71" t="n">
        <v>300</v>
      </c>
      <c r="V84" s="71" t="n">
        <v>4</v>
      </c>
      <c r="W84" s="71" t="s">
        <v>411</v>
      </c>
      <c r="X84" s="71" t="s">
        <v>276</v>
      </c>
      <c r="Y84" s="71" t="s">
        <v>412</v>
      </c>
      <c r="Z84" s="71" t="s">
        <v>430</v>
      </c>
      <c r="AA84" s="71" t="n">
        <v>46</v>
      </c>
      <c r="AB84" s="71" t="s">
        <v>426</v>
      </c>
      <c r="AC84" s="71" t="n">
        <v>0.916666666666667</v>
      </c>
      <c r="AD84" s="71" t="s">
        <v>431</v>
      </c>
      <c r="AE84" s="71" t="s">
        <v>433</v>
      </c>
      <c r="AF84" s="71" t="n">
        <v>30</v>
      </c>
      <c r="AG84" s="71" t="s">
        <v>428</v>
      </c>
      <c r="AH84" s="71" t="n">
        <v>8</v>
      </c>
      <c r="AI84" s="71" t="n">
        <v>39</v>
      </c>
      <c r="AJ84" s="71" t="n">
        <v>1</v>
      </c>
      <c r="AK84" s="74" t="s">
        <v>317</v>
      </c>
      <c r="AL84" s="71" t="n">
        <v>-18.1495855</v>
      </c>
      <c r="AM84" s="71" t="n">
        <v>-65.4725728</v>
      </c>
      <c r="AN84" s="75"/>
      <c r="AO84" s="75"/>
      <c r="AP84" s="75"/>
      <c r="AQ84" s="75"/>
      <c r="AR84" s="0" t="n">
        <v>0</v>
      </c>
    </row>
    <row r="85" customFormat="false" ht="15" hidden="false" customHeight="false" outlineLevel="0" collapsed="false">
      <c r="A85" s="0" t="n">
        <v>60</v>
      </c>
      <c r="B85" s="0" t="n">
        <v>44951</v>
      </c>
      <c r="C85" s="0" t="s">
        <v>320</v>
      </c>
      <c r="D85" s="0" t="s">
        <v>321</v>
      </c>
      <c r="E85" s="0" t="s">
        <v>409</v>
      </c>
      <c r="F85" s="0" t="n">
        <v>34</v>
      </c>
      <c r="G85" s="0" t="s">
        <v>410</v>
      </c>
      <c r="H85" s="0" t="n">
        <v>13386399</v>
      </c>
      <c r="I85" s="0" t="s">
        <v>51</v>
      </c>
      <c r="J85" s="0" t="n">
        <v>0</v>
      </c>
      <c r="K85" s="0" t="n">
        <v>0</v>
      </c>
      <c r="L85" s="0" t="n">
        <v>2</v>
      </c>
      <c r="M85" s="0" t="n">
        <v>0</v>
      </c>
      <c r="N85" s="0" t="n">
        <v>1</v>
      </c>
      <c r="O85" s="0" t="n">
        <v>1</v>
      </c>
      <c r="P85" s="0" t="n">
        <v>0</v>
      </c>
      <c r="Q85" s="0" t="s">
        <v>412</v>
      </c>
      <c r="R85" s="0" t="s">
        <v>125</v>
      </c>
      <c r="S85" s="0" t="n">
        <v>2</v>
      </c>
      <c r="T85" s="0" t="s">
        <v>411</v>
      </c>
      <c r="U85" s="0" t="n">
        <v>100</v>
      </c>
      <c r="V85" s="0" t="n">
        <v>6</v>
      </c>
      <c r="W85" s="0" t="s">
        <v>411</v>
      </c>
      <c r="X85" s="0" t="s">
        <v>276</v>
      </c>
      <c r="Y85" s="0" t="s">
        <v>412</v>
      </c>
      <c r="Z85" s="0" t="s">
        <v>430</v>
      </c>
      <c r="AA85" s="0" t="n">
        <v>82</v>
      </c>
      <c r="AB85" s="0" t="s">
        <v>414</v>
      </c>
      <c r="AC85" s="0" t="n">
        <v>0.833333333333333</v>
      </c>
      <c r="AD85" s="0" t="s">
        <v>427</v>
      </c>
      <c r="AE85" s="0" t="s">
        <v>416</v>
      </c>
      <c r="AF85" s="0" t="n">
        <v>0</v>
      </c>
      <c r="AG85" s="0" t="s">
        <v>417</v>
      </c>
      <c r="AH85" s="0" t="n">
        <v>14</v>
      </c>
      <c r="AI85" s="0" t="n">
        <v>84</v>
      </c>
      <c r="AJ85" s="0" t="n">
        <v>1</v>
      </c>
      <c r="AL85" s="0" t="n">
        <v>-18.2348091</v>
      </c>
      <c r="AM85" s="0" t="n">
        <v>-65.3474492</v>
      </c>
      <c r="AN85" s="67" t="n">
        <v>201611010150</v>
      </c>
      <c r="AO85" s="67" t="n">
        <v>1072771172</v>
      </c>
      <c r="AP85" s="67" t="n">
        <v>837956</v>
      </c>
      <c r="AQ85" s="67" t="n">
        <v>8412402</v>
      </c>
      <c r="AR85" s="0" t="n">
        <v>0</v>
      </c>
    </row>
    <row r="86" customFormat="false" ht="15" hidden="false" customHeight="false" outlineLevel="0" collapsed="false">
      <c r="A86" s="0" t="n">
        <v>38</v>
      </c>
      <c r="B86" s="0" t="n">
        <v>44952</v>
      </c>
      <c r="C86" s="0" t="s">
        <v>327</v>
      </c>
      <c r="D86" s="0" t="s">
        <v>328</v>
      </c>
      <c r="E86" s="0" t="s">
        <v>409</v>
      </c>
      <c r="F86" s="0" t="n">
        <v>26</v>
      </c>
      <c r="G86" s="0" t="s">
        <v>410</v>
      </c>
      <c r="H86" s="0" t="n">
        <v>8753964</v>
      </c>
      <c r="I86" s="0" t="s">
        <v>42</v>
      </c>
      <c r="J86" s="0" t="n">
        <v>2</v>
      </c>
      <c r="K86" s="0" t="n">
        <v>0</v>
      </c>
      <c r="L86" s="0" t="n">
        <v>2</v>
      </c>
      <c r="M86" s="0" t="n">
        <v>0</v>
      </c>
      <c r="N86" s="0" t="n">
        <v>1</v>
      </c>
      <c r="O86" s="0" t="n">
        <v>1</v>
      </c>
      <c r="P86" s="0" t="n">
        <v>0</v>
      </c>
      <c r="Q86" s="0" t="s">
        <v>412</v>
      </c>
      <c r="R86" s="0" t="s">
        <v>65</v>
      </c>
      <c r="S86" s="0" t="n">
        <v>4</v>
      </c>
      <c r="T86" s="0" t="s">
        <v>411</v>
      </c>
      <c r="U86" s="0" t="n">
        <v>500</v>
      </c>
      <c r="V86" s="0" t="n">
        <v>2</v>
      </c>
      <c r="W86" s="0" t="s">
        <v>411</v>
      </c>
      <c r="X86" s="0" t="s">
        <v>276</v>
      </c>
      <c r="Y86" s="0" t="s">
        <v>147</v>
      </c>
      <c r="Z86" s="0" t="s">
        <v>435</v>
      </c>
      <c r="AA86" s="0" t="n">
        <v>40</v>
      </c>
      <c r="AB86" s="0" t="s">
        <v>414</v>
      </c>
      <c r="AC86" s="0" t="n">
        <v>0.916666666666667</v>
      </c>
      <c r="AD86" s="0" t="s">
        <v>431</v>
      </c>
      <c r="AE86" s="0" t="s">
        <v>416</v>
      </c>
      <c r="AF86" s="0" t="n">
        <v>0</v>
      </c>
      <c r="AG86" s="0" t="s">
        <v>428</v>
      </c>
      <c r="AH86" s="0" t="n">
        <v>7</v>
      </c>
      <c r="AI86" s="0" t="n">
        <v>40</v>
      </c>
      <c r="AJ86" s="0" t="n">
        <v>1</v>
      </c>
      <c r="AK86" s="2" t="s">
        <v>329</v>
      </c>
      <c r="AL86" s="76" t="n">
        <v>-18.1498837</v>
      </c>
      <c r="AM86" s="0" t="n">
        <v>-65.4762575</v>
      </c>
      <c r="AR86" s="0" t="n">
        <v>0</v>
      </c>
    </row>
    <row r="87" customFormat="false" ht="15" hidden="false" customHeight="false" outlineLevel="0" collapsed="false">
      <c r="A87" s="0" t="n">
        <v>34</v>
      </c>
      <c r="B87" s="0" t="n">
        <v>44952</v>
      </c>
      <c r="C87" s="0" t="s">
        <v>332</v>
      </c>
      <c r="D87" s="0" t="s">
        <v>194</v>
      </c>
      <c r="E87" s="0" t="s">
        <v>409</v>
      </c>
      <c r="F87" s="0" t="n">
        <v>56</v>
      </c>
      <c r="G87" s="0" t="s">
        <v>410</v>
      </c>
      <c r="H87" s="0" t="n">
        <v>14190724</v>
      </c>
      <c r="I87" s="0" t="s">
        <v>42</v>
      </c>
      <c r="J87" s="0" t="n">
        <v>0</v>
      </c>
      <c r="K87" s="0" t="n">
        <v>4</v>
      </c>
      <c r="L87" s="0" t="n">
        <v>2</v>
      </c>
      <c r="M87" s="0" t="n">
        <v>0</v>
      </c>
      <c r="N87" s="0" t="n">
        <v>1</v>
      </c>
      <c r="O87" s="0" t="n">
        <v>1</v>
      </c>
      <c r="P87" s="0" t="n">
        <v>0</v>
      </c>
      <c r="Q87" s="0" t="s">
        <v>147</v>
      </c>
      <c r="R87" s="0" t="s">
        <v>76</v>
      </c>
      <c r="S87" s="0" t="n">
        <v>6</v>
      </c>
      <c r="T87" s="0" t="s">
        <v>411</v>
      </c>
      <c r="U87" s="0" t="n">
        <v>400</v>
      </c>
      <c r="V87" s="0" t="n">
        <v>4</v>
      </c>
      <c r="W87" s="0" t="s">
        <v>423</v>
      </c>
      <c r="X87" s="0" t="s">
        <v>424</v>
      </c>
      <c r="Y87" s="0" t="s">
        <v>412</v>
      </c>
      <c r="Z87" s="0" t="s">
        <v>430</v>
      </c>
      <c r="AA87" s="0" t="n">
        <v>72</v>
      </c>
      <c r="AB87" s="0" t="s">
        <v>426</v>
      </c>
      <c r="AC87" s="0" t="n">
        <v>0.916666666666667</v>
      </c>
      <c r="AD87" s="0" t="s">
        <v>431</v>
      </c>
      <c r="AE87" s="0" t="s">
        <v>416</v>
      </c>
      <c r="AF87" s="0" t="n">
        <v>0</v>
      </c>
      <c r="AG87" s="0" t="s">
        <v>428</v>
      </c>
      <c r="AH87" s="0" t="n">
        <v>7</v>
      </c>
      <c r="AI87" s="0" t="n">
        <v>41</v>
      </c>
      <c r="AL87" s="0" t="n">
        <v>-18.1258421</v>
      </c>
      <c r="AM87" s="0" t="n">
        <v>-65.492891</v>
      </c>
      <c r="AR87" s="0" t="n">
        <v>0</v>
      </c>
    </row>
    <row r="88" customFormat="false" ht="15" hidden="false" customHeight="false" outlineLevel="0" collapsed="false">
      <c r="A88" s="0" t="n">
        <v>84</v>
      </c>
      <c r="B88" s="0" t="n">
        <v>44951</v>
      </c>
      <c r="C88" s="0" t="s">
        <v>332</v>
      </c>
      <c r="D88" s="0" t="s">
        <v>334</v>
      </c>
      <c r="E88" s="0" t="s">
        <v>409</v>
      </c>
      <c r="F88" s="0" t="n">
        <v>38</v>
      </c>
      <c r="G88" s="0" t="s">
        <v>410</v>
      </c>
      <c r="H88" s="0" t="n">
        <v>13386027</v>
      </c>
      <c r="I88" s="0" t="s">
        <v>51</v>
      </c>
      <c r="J88" s="0" t="n">
        <v>1</v>
      </c>
      <c r="K88" s="0" t="n">
        <v>1</v>
      </c>
      <c r="L88" s="0" t="n">
        <v>2</v>
      </c>
      <c r="M88" s="0" t="n">
        <v>0</v>
      </c>
      <c r="N88" s="0" t="n">
        <v>1</v>
      </c>
      <c r="O88" s="0" t="n">
        <v>1</v>
      </c>
      <c r="P88" s="0" t="n">
        <v>0</v>
      </c>
      <c r="Q88" s="0" t="s">
        <v>412</v>
      </c>
      <c r="R88" s="0" t="s">
        <v>65</v>
      </c>
      <c r="S88" s="0" t="n">
        <v>4</v>
      </c>
      <c r="T88" s="0" t="s">
        <v>411</v>
      </c>
      <c r="U88" s="0" t="n">
        <v>500</v>
      </c>
      <c r="V88" s="0" t="n">
        <v>3</v>
      </c>
      <c r="W88" s="0" t="s">
        <v>411</v>
      </c>
      <c r="X88" s="0" t="s">
        <v>276</v>
      </c>
      <c r="Y88" s="0" t="s">
        <v>412</v>
      </c>
      <c r="Z88" s="0" t="s">
        <v>425</v>
      </c>
      <c r="AA88" s="0" t="n">
        <v>68</v>
      </c>
      <c r="AB88" s="0" t="s">
        <v>426</v>
      </c>
      <c r="AC88" s="0" t="n">
        <v>0.958333333333334</v>
      </c>
      <c r="AD88" s="0" t="s">
        <v>427</v>
      </c>
      <c r="AE88" s="0" t="s">
        <v>416</v>
      </c>
      <c r="AF88" s="0" t="n">
        <v>0</v>
      </c>
      <c r="AG88" s="0" t="s">
        <v>422</v>
      </c>
      <c r="AH88" s="0" t="n">
        <v>0</v>
      </c>
      <c r="AI88" s="0" t="n">
        <v>85</v>
      </c>
      <c r="AL88" s="0" t="n">
        <v>-18.2392443</v>
      </c>
      <c r="AM88" s="0" t="n">
        <v>-65.3397352</v>
      </c>
      <c r="AN88" s="67" t="n">
        <v>201611010290</v>
      </c>
      <c r="AO88" s="67" t="n">
        <v>1072770533</v>
      </c>
      <c r="AP88" s="67" t="n">
        <v>837954</v>
      </c>
      <c r="AQ88" s="67" t="n">
        <v>8412418</v>
      </c>
      <c r="AR88" s="0" t="n">
        <v>0</v>
      </c>
    </row>
    <row r="89" customFormat="false" ht="15" hidden="false" customHeight="false" outlineLevel="0" collapsed="false">
      <c r="A89" s="0" t="n">
        <v>64</v>
      </c>
      <c r="B89" s="0" t="n">
        <v>44951</v>
      </c>
      <c r="C89" s="0" t="s">
        <v>335</v>
      </c>
      <c r="D89" s="0" t="s">
        <v>336</v>
      </c>
      <c r="E89" s="0" t="s">
        <v>419</v>
      </c>
      <c r="F89" s="0" t="n">
        <v>65</v>
      </c>
      <c r="G89" s="0" t="s">
        <v>420</v>
      </c>
      <c r="H89" s="0" t="n">
        <v>14190843</v>
      </c>
      <c r="I89" s="0" t="s">
        <v>51</v>
      </c>
      <c r="J89" s="0" t="n">
        <v>0</v>
      </c>
      <c r="K89" s="0" t="n">
        <v>0</v>
      </c>
      <c r="L89" s="0" t="n">
        <v>0</v>
      </c>
      <c r="M89" s="0" t="n">
        <v>1</v>
      </c>
      <c r="N89" s="0" t="n">
        <v>0</v>
      </c>
      <c r="O89" s="0" t="n">
        <v>1</v>
      </c>
      <c r="P89" s="0" t="n">
        <v>0</v>
      </c>
      <c r="Q89" s="0" t="s">
        <v>412</v>
      </c>
      <c r="R89" s="0" t="s">
        <v>93</v>
      </c>
      <c r="S89" s="0" t="n">
        <v>1</v>
      </c>
      <c r="T89" s="0" t="s">
        <v>411</v>
      </c>
      <c r="U89" s="0" t="n">
        <v>100</v>
      </c>
      <c r="V89" s="0" t="n">
        <v>4</v>
      </c>
      <c r="W89" s="0" t="s">
        <v>411</v>
      </c>
      <c r="X89" s="0" t="s">
        <v>276</v>
      </c>
      <c r="Y89" s="0" t="s">
        <v>412</v>
      </c>
      <c r="Z89" s="0" t="s">
        <v>458</v>
      </c>
      <c r="AA89" s="0" t="n">
        <v>55</v>
      </c>
      <c r="AB89" s="0" t="s">
        <v>414</v>
      </c>
      <c r="AC89" s="0" t="n">
        <v>0.875</v>
      </c>
      <c r="AD89" s="0" t="s">
        <v>448</v>
      </c>
      <c r="AE89" s="0" t="s">
        <v>416</v>
      </c>
      <c r="AF89" s="0" t="n">
        <v>0</v>
      </c>
      <c r="AG89" s="0" t="s">
        <v>428</v>
      </c>
      <c r="AH89" s="0" t="n">
        <v>7</v>
      </c>
      <c r="AI89" s="0" t="n">
        <v>86</v>
      </c>
      <c r="AJ89" s="0" t="n">
        <v>0</v>
      </c>
      <c r="AK89" s="2" t="n">
        <v>0</v>
      </c>
      <c r="AL89" s="0" t="n">
        <v>-18.2370508</v>
      </c>
      <c r="AM89" s="0" t="n">
        <v>-65.3416885</v>
      </c>
      <c r="AN89" s="67" t="n">
        <v>201611010089</v>
      </c>
      <c r="AO89" s="67" t="n">
        <v>1072770539</v>
      </c>
      <c r="AP89" s="67" t="n">
        <v>837972</v>
      </c>
      <c r="AQ89" s="67" t="n">
        <v>8412428</v>
      </c>
      <c r="AR89" s="0" t="n">
        <v>0</v>
      </c>
    </row>
    <row r="90" customFormat="false" ht="15" hidden="false" customHeight="false" outlineLevel="0" collapsed="false">
      <c r="A90" s="0" t="n">
        <v>23</v>
      </c>
      <c r="B90" s="0" t="n">
        <v>44952</v>
      </c>
      <c r="C90" s="0" t="s">
        <v>337</v>
      </c>
      <c r="D90" s="0" t="s">
        <v>338</v>
      </c>
      <c r="E90" s="0" t="s">
        <v>419</v>
      </c>
      <c r="F90" s="0" t="n">
        <v>22</v>
      </c>
      <c r="G90" s="0" t="s">
        <v>438</v>
      </c>
      <c r="H90" s="0" t="n">
        <v>13425050</v>
      </c>
      <c r="I90" s="0" t="s">
        <v>42</v>
      </c>
      <c r="J90" s="0" t="n">
        <v>1</v>
      </c>
      <c r="K90" s="0" t="n">
        <v>0</v>
      </c>
      <c r="L90" s="0" t="n">
        <v>1</v>
      </c>
      <c r="M90" s="0" t="n">
        <v>0</v>
      </c>
      <c r="N90" s="0" t="n">
        <v>1</v>
      </c>
      <c r="O90" s="0" t="n">
        <v>0</v>
      </c>
      <c r="P90" s="0" t="n">
        <v>0</v>
      </c>
      <c r="Q90" s="0" t="s">
        <v>412</v>
      </c>
      <c r="R90" s="0" t="s">
        <v>52</v>
      </c>
      <c r="S90" s="0" t="n">
        <v>2</v>
      </c>
      <c r="T90" s="0" t="s">
        <v>411</v>
      </c>
      <c r="U90" s="0" t="n">
        <v>300</v>
      </c>
      <c r="V90" s="0" t="n">
        <v>1</v>
      </c>
      <c r="W90" s="0" t="s">
        <v>423</v>
      </c>
      <c r="X90" s="0" t="s">
        <v>429</v>
      </c>
      <c r="Y90" s="0" t="s">
        <v>412</v>
      </c>
      <c r="Z90" s="0" t="s">
        <v>430</v>
      </c>
      <c r="AA90" s="0" t="n">
        <v>124</v>
      </c>
      <c r="AB90" s="0" t="s">
        <v>426</v>
      </c>
      <c r="AC90" s="0" t="n">
        <v>0.833333333333333</v>
      </c>
      <c r="AD90" s="0" t="s">
        <v>442</v>
      </c>
      <c r="AE90" s="0" t="s">
        <v>416</v>
      </c>
      <c r="AF90" s="0" t="n">
        <v>0</v>
      </c>
      <c r="AG90" s="0" t="s">
        <v>428</v>
      </c>
      <c r="AH90" s="0" t="n">
        <v>7</v>
      </c>
      <c r="AI90" s="0" t="n">
        <v>42</v>
      </c>
      <c r="AL90" s="0" t="n">
        <v>-18.1486093</v>
      </c>
      <c r="AM90" s="0" t="n">
        <v>-65.4760704</v>
      </c>
      <c r="AR90" s="0" t="n">
        <v>0</v>
      </c>
      <c r="AS90" s="0" t="n">
        <v>0</v>
      </c>
    </row>
    <row r="91" customFormat="false" ht="15" hidden="false" customHeight="false" outlineLevel="0" collapsed="false">
      <c r="A91" s="0" t="n">
        <v>97</v>
      </c>
      <c r="B91" s="0" t="n">
        <v>44952</v>
      </c>
      <c r="C91" s="0" t="s">
        <v>339</v>
      </c>
      <c r="D91" s="0" t="s">
        <v>340</v>
      </c>
      <c r="E91" s="0" t="s">
        <v>409</v>
      </c>
      <c r="F91" s="0" t="n">
        <v>50</v>
      </c>
      <c r="G91" s="0" t="s">
        <v>410</v>
      </c>
      <c r="H91" s="0" t="n">
        <v>8856769</v>
      </c>
      <c r="I91" s="0" t="s">
        <v>33</v>
      </c>
      <c r="J91" s="0" t="n">
        <v>0</v>
      </c>
      <c r="K91" s="0" t="n">
        <v>1</v>
      </c>
      <c r="L91" s="0" t="n">
        <v>2</v>
      </c>
      <c r="M91" s="0" t="n">
        <v>0</v>
      </c>
      <c r="N91" s="0" t="n">
        <v>1</v>
      </c>
      <c r="O91" s="0" t="n">
        <v>1</v>
      </c>
      <c r="P91" s="0" t="n">
        <v>0</v>
      </c>
      <c r="Q91" s="0" t="s">
        <v>147</v>
      </c>
      <c r="R91" s="0" t="s">
        <v>65</v>
      </c>
      <c r="S91" s="0" t="n">
        <v>3</v>
      </c>
      <c r="T91" s="0" t="s">
        <v>411</v>
      </c>
      <c r="U91" s="0" t="n">
        <v>200</v>
      </c>
      <c r="V91" s="0" t="n">
        <v>4</v>
      </c>
      <c r="W91" s="0" t="s">
        <v>411</v>
      </c>
      <c r="X91" s="0" t="s">
        <v>276</v>
      </c>
      <c r="Y91" s="0" t="s">
        <v>412</v>
      </c>
      <c r="Z91" s="0" t="s">
        <v>425</v>
      </c>
      <c r="AA91" s="0" t="n">
        <v>116</v>
      </c>
      <c r="AB91" s="0" t="s">
        <v>426</v>
      </c>
      <c r="AC91" s="0" t="n">
        <v>0.916666666666667</v>
      </c>
      <c r="AD91" s="0" t="s">
        <v>39</v>
      </c>
      <c r="AE91" s="0" t="s">
        <v>433</v>
      </c>
      <c r="AF91" s="0" t="n">
        <v>35</v>
      </c>
      <c r="AG91" s="0" t="s">
        <v>428</v>
      </c>
      <c r="AH91" s="0" t="n">
        <v>7</v>
      </c>
      <c r="AI91" s="0" t="n">
        <v>100</v>
      </c>
      <c r="AL91" s="0" t="n">
        <v>-18.1378492</v>
      </c>
      <c r="AM91" s="0" t="n">
        <v>-65.5147763</v>
      </c>
      <c r="AN91" s="67" t="n">
        <v>201611010637</v>
      </c>
      <c r="AO91" s="67" t="n">
        <v>1972770001</v>
      </c>
      <c r="AP91" s="67" t="n">
        <v>837969</v>
      </c>
      <c r="AQ91" s="67" t="n">
        <v>8412415</v>
      </c>
      <c r="AR91" s="0" t="n">
        <v>0</v>
      </c>
    </row>
    <row r="92" customFormat="false" ht="15" hidden="false" customHeight="false" outlineLevel="0" collapsed="false">
      <c r="A92" s="0" t="n">
        <v>51</v>
      </c>
      <c r="B92" s="0" t="n">
        <v>44952</v>
      </c>
      <c r="C92" s="0" t="s">
        <v>342</v>
      </c>
      <c r="D92" s="0" t="s">
        <v>272</v>
      </c>
      <c r="E92" s="0" t="s">
        <v>409</v>
      </c>
      <c r="F92" s="0" t="n">
        <v>47</v>
      </c>
      <c r="G92" s="0" t="s">
        <v>410</v>
      </c>
      <c r="H92" s="0" t="n">
        <v>8857454</v>
      </c>
      <c r="I92" s="0" t="s">
        <v>59</v>
      </c>
      <c r="J92" s="0" t="n">
        <v>2</v>
      </c>
      <c r="K92" s="0" t="n">
        <v>0</v>
      </c>
      <c r="L92" s="0" t="n">
        <v>2</v>
      </c>
      <c r="M92" s="0" t="n">
        <v>0</v>
      </c>
      <c r="N92" s="0" t="n">
        <v>1</v>
      </c>
      <c r="O92" s="0" t="n">
        <v>1</v>
      </c>
      <c r="P92" s="0" t="n">
        <v>0</v>
      </c>
      <c r="Q92" s="0" t="s">
        <v>412</v>
      </c>
      <c r="R92" s="0" t="s">
        <v>65</v>
      </c>
      <c r="S92" s="0" t="n">
        <v>4</v>
      </c>
      <c r="T92" s="0" t="s">
        <v>411</v>
      </c>
      <c r="U92" s="0" t="n">
        <v>300</v>
      </c>
      <c r="V92" s="0" t="n">
        <v>2</v>
      </c>
      <c r="W92" s="0" t="s">
        <v>423</v>
      </c>
      <c r="X92" s="0" t="s">
        <v>455</v>
      </c>
      <c r="Y92" s="0" t="s">
        <v>412</v>
      </c>
      <c r="Z92" s="0" t="s">
        <v>413</v>
      </c>
      <c r="AA92" s="0" t="n">
        <v>192</v>
      </c>
      <c r="AB92" s="0" t="s">
        <v>426</v>
      </c>
      <c r="AC92" s="0" t="n">
        <v>0.916666666666667</v>
      </c>
      <c r="AD92" s="0" t="s">
        <v>448</v>
      </c>
      <c r="AE92" s="0" t="s">
        <v>433</v>
      </c>
      <c r="AF92" s="0" t="n">
        <v>35</v>
      </c>
      <c r="AG92" s="0" t="s">
        <v>428</v>
      </c>
      <c r="AH92" s="0" t="n">
        <v>7</v>
      </c>
      <c r="AI92" s="0" t="n">
        <v>52</v>
      </c>
      <c r="AL92" s="0" t="n">
        <v>-18.1398139</v>
      </c>
      <c r="AM92" s="0" t="n">
        <v>-65.4574805</v>
      </c>
      <c r="AN92" s="67" t="n">
        <v>201611011941</v>
      </c>
      <c r="AO92" s="67" t="n">
        <v>1072770985</v>
      </c>
      <c r="AP92" s="67" t="n">
        <v>837960</v>
      </c>
      <c r="AQ92" s="67" t="n">
        <v>8412436</v>
      </c>
      <c r="AR92" s="0" t="n">
        <v>0</v>
      </c>
    </row>
    <row r="93" customFormat="false" ht="15" hidden="false" customHeight="false" outlineLevel="0" collapsed="false">
      <c r="A93" s="0" t="n">
        <v>83</v>
      </c>
      <c r="B93" s="0" t="n">
        <v>44951</v>
      </c>
      <c r="C93" s="0" t="s">
        <v>343</v>
      </c>
      <c r="D93" s="0" t="s">
        <v>344</v>
      </c>
      <c r="E93" s="0" t="s">
        <v>419</v>
      </c>
      <c r="F93" s="0" t="n">
        <v>41</v>
      </c>
      <c r="G93" s="0" t="s">
        <v>420</v>
      </c>
      <c r="H93" s="0" t="n">
        <v>14190339</v>
      </c>
      <c r="I93" s="0" t="s">
        <v>51</v>
      </c>
      <c r="J93" s="0" t="n">
        <v>0</v>
      </c>
      <c r="K93" s="0" t="n">
        <v>1</v>
      </c>
      <c r="L93" s="0" t="n">
        <v>3</v>
      </c>
      <c r="M93" s="0" t="n">
        <v>0</v>
      </c>
      <c r="N93" s="0" t="n">
        <v>2</v>
      </c>
      <c r="O93" s="0" t="n">
        <v>1</v>
      </c>
      <c r="P93" s="0" t="n">
        <v>0</v>
      </c>
      <c r="Q93" s="0" t="s">
        <v>147</v>
      </c>
      <c r="R93" s="0" t="s">
        <v>34</v>
      </c>
      <c r="S93" s="0" t="n">
        <v>4</v>
      </c>
      <c r="T93" s="0" t="s">
        <v>411</v>
      </c>
      <c r="U93" s="0" t="n">
        <v>500</v>
      </c>
      <c r="V93" s="0" t="n">
        <v>2</v>
      </c>
      <c r="W93" s="0" t="s">
        <v>411</v>
      </c>
      <c r="X93" s="0" t="s">
        <v>276</v>
      </c>
      <c r="Y93" s="0" t="s">
        <v>412</v>
      </c>
      <c r="Z93" s="0" t="s">
        <v>413</v>
      </c>
      <c r="AA93" s="0" t="n">
        <v>32</v>
      </c>
      <c r="AB93" s="0" t="s">
        <v>414</v>
      </c>
      <c r="AC93" s="0" t="n">
        <v>0.916666666666667</v>
      </c>
      <c r="AD93" s="0" t="s">
        <v>427</v>
      </c>
      <c r="AE93" s="0" t="s">
        <v>416</v>
      </c>
      <c r="AF93" s="0" t="n">
        <v>0</v>
      </c>
      <c r="AG93" s="0" t="s">
        <v>422</v>
      </c>
      <c r="AH93" s="0" t="n">
        <v>0</v>
      </c>
      <c r="AI93" s="0" t="n">
        <v>87</v>
      </c>
      <c r="AL93" s="0" t="n">
        <v>-18.2331247</v>
      </c>
      <c r="AM93" s="0" t="n">
        <v>-65.3520674</v>
      </c>
      <c r="AN93" s="67" t="n">
        <v>201611010287</v>
      </c>
      <c r="AO93" s="67" t="n">
        <v>1072770538</v>
      </c>
      <c r="AP93" s="67" t="n">
        <v>837966</v>
      </c>
      <c r="AQ93" s="67" t="n">
        <v>8412413</v>
      </c>
      <c r="AR93" s="0" t="n">
        <v>0</v>
      </c>
    </row>
    <row r="94" customFormat="false" ht="15" hidden="false" customHeight="false" outlineLevel="0" collapsed="false">
      <c r="A94" s="0" t="n">
        <v>6</v>
      </c>
      <c r="B94" s="0" t="n">
        <v>44952</v>
      </c>
      <c r="C94" s="0" t="s">
        <v>346</v>
      </c>
      <c r="D94" s="0" t="s">
        <v>347</v>
      </c>
      <c r="E94" s="0" t="s">
        <v>419</v>
      </c>
      <c r="F94" s="0" t="n">
        <v>70</v>
      </c>
      <c r="G94" s="0" t="s">
        <v>420</v>
      </c>
      <c r="H94" s="0" t="n">
        <v>8856342</v>
      </c>
      <c r="I94" s="0" t="s">
        <v>42</v>
      </c>
      <c r="J94" s="0" t="n">
        <v>0</v>
      </c>
      <c r="K94" s="0" t="n">
        <v>1</v>
      </c>
      <c r="L94" s="0" t="n">
        <v>1</v>
      </c>
      <c r="M94" s="0" t="n">
        <v>2</v>
      </c>
      <c r="N94" s="0" t="n">
        <v>3</v>
      </c>
      <c r="O94" s="0" t="n">
        <v>0</v>
      </c>
      <c r="P94" s="0" t="n">
        <v>0</v>
      </c>
      <c r="Q94" s="0" t="s">
        <v>412</v>
      </c>
      <c r="R94" s="0" t="s">
        <v>348</v>
      </c>
      <c r="S94" s="0" t="n">
        <v>4</v>
      </c>
      <c r="T94" s="0" t="s">
        <v>411</v>
      </c>
      <c r="U94" s="0" t="n">
        <v>0</v>
      </c>
      <c r="V94" s="0" t="n">
        <v>3</v>
      </c>
      <c r="W94" s="0" t="s">
        <v>423</v>
      </c>
      <c r="X94" s="0" t="s">
        <v>424</v>
      </c>
      <c r="Y94" s="0" t="s">
        <v>412</v>
      </c>
      <c r="Z94" s="0" t="s">
        <v>425</v>
      </c>
      <c r="AA94" s="0" t="n">
        <v>76</v>
      </c>
      <c r="AB94" s="0" t="s">
        <v>426</v>
      </c>
      <c r="AC94" s="0" t="n">
        <v>0.916666666666667</v>
      </c>
      <c r="AD94" s="0" t="s">
        <v>431</v>
      </c>
      <c r="AE94" s="0" t="s">
        <v>416</v>
      </c>
      <c r="AF94" s="0" t="n">
        <v>0</v>
      </c>
      <c r="AG94" s="0" t="s">
        <v>417</v>
      </c>
      <c r="AH94" s="0" t="n">
        <v>7</v>
      </c>
      <c r="AI94" s="0" t="n">
        <v>43</v>
      </c>
      <c r="AL94" s="0" t="n">
        <v>-18.1553166</v>
      </c>
      <c r="AM94" s="0" t="n">
        <v>-65.4618251</v>
      </c>
      <c r="AR94" s="0" t="n">
        <v>0</v>
      </c>
    </row>
    <row r="95" customFormat="false" ht="15" hidden="false" customHeight="false" outlineLevel="0" collapsed="false">
      <c r="A95" s="0" t="n">
        <v>91</v>
      </c>
      <c r="B95" s="0" t="n">
        <v>44952</v>
      </c>
      <c r="C95" s="0" t="s">
        <v>349</v>
      </c>
      <c r="D95" s="0" t="s">
        <v>350</v>
      </c>
      <c r="E95" s="0" t="s">
        <v>409</v>
      </c>
      <c r="F95" s="0" t="n">
        <v>87</v>
      </c>
      <c r="G95" s="0" t="s">
        <v>410</v>
      </c>
      <c r="H95" s="0" t="n">
        <v>934595</v>
      </c>
      <c r="I95" s="0" t="s">
        <v>33</v>
      </c>
      <c r="J95" s="0" t="n">
        <v>0</v>
      </c>
      <c r="K95" s="0" t="n">
        <v>0</v>
      </c>
      <c r="L95" s="0" t="n">
        <v>0</v>
      </c>
      <c r="M95" s="0" t="n">
        <v>1</v>
      </c>
      <c r="N95" s="0" t="n">
        <v>1</v>
      </c>
      <c r="O95" s="0" t="n">
        <v>0</v>
      </c>
      <c r="P95" s="0" t="n">
        <v>0</v>
      </c>
      <c r="Q95" s="0" t="s">
        <v>412</v>
      </c>
      <c r="R95" s="0" t="s">
        <v>93</v>
      </c>
      <c r="S95" s="0" t="n">
        <v>1</v>
      </c>
      <c r="T95" s="0" t="s">
        <v>411</v>
      </c>
      <c r="U95" s="0" t="n">
        <v>0</v>
      </c>
      <c r="V95" s="0" t="n">
        <v>3</v>
      </c>
      <c r="W95" s="0" t="s">
        <v>411</v>
      </c>
      <c r="X95" s="0" t="s">
        <v>276</v>
      </c>
      <c r="Y95" s="0" t="s">
        <v>147</v>
      </c>
      <c r="Z95" s="0" t="s">
        <v>441</v>
      </c>
      <c r="AA95" s="0" t="n">
        <v>0</v>
      </c>
      <c r="AB95" s="0" t="s">
        <v>426</v>
      </c>
      <c r="AC95" s="0" t="n">
        <v>0.833333333333333</v>
      </c>
      <c r="AD95" s="0" t="s">
        <v>39</v>
      </c>
      <c r="AE95" s="0" t="s">
        <v>416</v>
      </c>
      <c r="AF95" s="0" t="n">
        <v>0</v>
      </c>
      <c r="AG95" s="0" t="s">
        <v>467</v>
      </c>
      <c r="AH95" s="0" t="n">
        <v>14</v>
      </c>
      <c r="AI95" s="0" t="n">
        <v>91</v>
      </c>
      <c r="AL95" s="0" t="n">
        <v>-18.136595</v>
      </c>
      <c r="AM95" s="0" t="n">
        <v>-65.5017122</v>
      </c>
      <c r="AN95" s="67" t="n">
        <v>201611010092</v>
      </c>
      <c r="AO95" s="67" t="n">
        <v>1072770002</v>
      </c>
      <c r="AP95" s="67" t="n">
        <v>837996</v>
      </c>
      <c r="AQ95" s="67" t="n">
        <v>8412437</v>
      </c>
      <c r="AR95" s="0" t="n">
        <v>0</v>
      </c>
    </row>
    <row r="96" customFormat="false" ht="15" hidden="false" customHeight="false" outlineLevel="0" collapsed="false">
      <c r="A96" s="0" t="n">
        <v>22</v>
      </c>
      <c r="B96" s="0" t="n">
        <v>44952</v>
      </c>
      <c r="C96" s="0" t="s">
        <v>354</v>
      </c>
      <c r="D96" s="0" t="s">
        <v>152</v>
      </c>
      <c r="E96" s="0" t="s">
        <v>409</v>
      </c>
      <c r="F96" s="0" t="n">
        <v>41</v>
      </c>
      <c r="G96" s="0" t="s">
        <v>410</v>
      </c>
      <c r="H96" s="0" t="n">
        <v>6517820</v>
      </c>
      <c r="I96" s="0" t="s">
        <v>42</v>
      </c>
      <c r="J96" s="0" t="n">
        <v>1</v>
      </c>
      <c r="K96" s="0" t="n">
        <v>3</v>
      </c>
      <c r="L96" s="0" t="n">
        <v>0</v>
      </c>
      <c r="M96" s="0" t="n">
        <v>2</v>
      </c>
      <c r="N96" s="0" t="n">
        <v>2</v>
      </c>
      <c r="O96" s="0" t="n">
        <v>0</v>
      </c>
      <c r="P96" s="0" t="n">
        <v>0</v>
      </c>
      <c r="Q96" s="0" t="s">
        <v>147</v>
      </c>
      <c r="R96" s="0" t="s">
        <v>76</v>
      </c>
      <c r="S96" s="0" t="n">
        <v>6</v>
      </c>
      <c r="T96" s="0" t="s">
        <v>411</v>
      </c>
      <c r="U96" s="0" t="n">
        <v>200</v>
      </c>
      <c r="V96" s="0" t="n">
        <v>3</v>
      </c>
      <c r="W96" s="0" t="s">
        <v>411</v>
      </c>
      <c r="X96" s="0" t="s">
        <v>276</v>
      </c>
      <c r="Y96" s="0" t="s">
        <v>412</v>
      </c>
      <c r="Z96" s="0" t="s">
        <v>425</v>
      </c>
      <c r="AA96" s="0" t="n">
        <v>70</v>
      </c>
      <c r="AB96" s="0" t="s">
        <v>414</v>
      </c>
      <c r="AC96" s="0" t="n">
        <v>0.916666666666667</v>
      </c>
      <c r="AD96" s="0" t="s">
        <v>431</v>
      </c>
      <c r="AE96" s="0" t="s">
        <v>416</v>
      </c>
      <c r="AF96" s="0" t="n">
        <v>0</v>
      </c>
      <c r="AG96" s="0" t="s">
        <v>428</v>
      </c>
      <c r="AH96" s="0" t="n">
        <v>14</v>
      </c>
      <c r="AI96" s="0" t="n">
        <v>44</v>
      </c>
      <c r="AL96" s="0" t="n">
        <v>-18.1671615</v>
      </c>
      <c r="AM96" s="0" t="n">
        <v>-65.4659238</v>
      </c>
      <c r="AR96" s="0" t="n">
        <v>0</v>
      </c>
    </row>
    <row r="97" customFormat="false" ht="15" hidden="false" customHeight="false" outlineLevel="0" collapsed="false">
      <c r="A97" s="0" t="n">
        <v>62</v>
      </c>
      <c r="B97" s="0" t="n">
        <v>44951</v>
      </c>
      <c r="C97" s="0" t="s">
        <v>354</v>
      </c>
      <c r="D97" s="0" t="s">
        <v>357</v>
      </c>
      <c r="E97" s="0" t="s">
        <v>409</v>
      </c>
      <c r="F97" s="0" t="s">
        <v>43</v>
      </c>
      <c r="G97" s="0" t="s">
        <v>43</v>
      </c>
      <c r="H97" s="0" t="s">
        <v>43</v>
      </c>
      <c r="I97" s="0" t="s">
        <v>51</v>
      </c>
      <c r="J97" s="0" t="n">
        <v>2</v>
      </c>
      <c r="K97" s="0" t="n">
        <v>2</v>
      </c>
      <c r="L97" s="0" t="n">
        <v>1</v>
      </c>
      <c r="M97" s="0" t="n">
        <v>0</v>
      </c>
      <c r="N97" s="0" t="n">
        <v>1</v>
      </c>
      <c r="O97" s="0" t="n">
        <v>0</v>
      </c>
      <c r="P97" s="0" t="n">
        <v>0</v>
      </c>
      <c r="Q97" s="0" t="s">
        <v>412</v>
      </c>
      <c r="R97" s="0" t="s">
        <v>137</v>
      </c>
      <c r="S97" s="0" t="n">
        <v>5</v>
      </c>
      <c r="T97" s="0" t="s">
        <v>411</v>
      </c>
      <c r="U97" s="0" t="n">
        <v>100</v>
      </c>
      <c r="V97" s="0" t="n">
        <v>4</v>
      </c>
      <c r="W97" s="0" t="s">
        <v>423</v>
      </c>
      <c r="X97" s="0" t="s">
        <v>439</v>
      </c>
      <c r="Y97" s="0" t="s">
        <v>412</v>
      </c>
      <c r="Z97" s="0" t="s">
        <v>430</v>
      </c>
      <c r="AA97" s="0" t="n">
        <v>124</v>
      </c>
      <c r="AB97" s="0" t="s">
        <v>426</v>
      </c>
      <c r="AC97" s="0" t="n">
        <v>1.83333333333333</v>
      </c>
      <c r="AD97" s="0" t="s">
        <v>427</v>
      </c>
      <c r="AE97" s="0" t="s">
        <v>416</v>
      </c>
      <c r="AF97" s="0" t="n">
        <v>0</v>
      </c>
      <c r="AG97" s="0" t="s">
        <v>428</v>
      </c>
      <c r="AH97" s="0" t="n">
        <v>7</v>
      </c>
      <c r="AI97" s="0" t="n">
        <v>88</v>
      </c>
      <c r="AL97" s="0" t="n">
        <v>-18.2315985</v>
      </c>
      <c r="AM97" s="0" t="n">
        <v>-65.3535658</v>
      </c>
      <c r="AN97" s="67" t="n">
        <v>201611010202</v>
      </c>
      <c r="AO97" s="67" t="n">
        <v>1072771177</v>
      </c>
      <c r="AP97" s="67" t="n">
        <v>837985</v>
      </c>
      <c r="AQ97" s="67" t="n">
        <v>8412434</v>
      </c>
      <c r="AR97" s="0" t="n">
        <v>0</v>
      </c>
    </row>
    <row r="98" customFormat="false" ht="15" hidden="false" customHeight="false" outlineLevel="0" collapsed="false">
      <c r="A98" s="0" t="n">
        <v>14</v>
      </c>
      <c r="B98" s="0" t="n">
        <v>44952</v>
      </c>
      <c r="C98" s="0" t="s">
        <v>360</v>
      </c>
      <c r="D98" s="0" t="s">
        <v>361</v>
      </c>
      <c r="E98" s="0" t="s">
        <v>409</v>
      </c>
      <c r="F98" s="0" t="n">
        <v>48</v>
      </c>
      <c r="G98" s="0" t="s">
        <v>410</v>
      </c>
      <c r="H98" s="0" t="n">
        <v>8739363</v>
      </c>
      <c r="I98" s="0" t="s">
        <v>42</v>
      </c>
      <c r="J98" s="0" t="n">
        <v>0</v>
      </c>
      <c r="K98" s="0" t="n">
        <v>5</v>
      </c>
      <c r="L98" s="0" t="n">
        <v>2</v>
      </c>
      <c r="M98" s="0" t="n">
        <v>0</v>
      </c>
      <c r="N98" s="0" t="n">
        <v>1</v>
      </c>
      <c r="O98" s="0" t="n">
        <v>1</v>
      </c>
      <c r="P98" s="0" t="n">
        <v>0</v>
      </c>
      <c r="Q98" s="0" t="s">
        <v>147</v>
      </c>
      <c r="R98" s="0" t="s">
        <v>76</v>
      </c>
      <c r="S98" s="0" t="n">
        <v>7</v>
      </c>
      <c r="T98" s="0" t="s">
        <v>411</v>
      </c>
      <c r="U98" s="0" t="n">
        <v>200</v>
      </c>
      <c r="V98" s="0" t="n">
        <v>4</v>
      </c>
      <c r="W98" s="0" t="s">
        <v>411</v>
      </c>
      <c r="X98" s="0" t="s">
        <v>276</v>
      </c>
      <c r="Y98" s="0" t="s">
        <v>412</v>
      </c>
      <c r="Z98" s="0" t="s">
        <v>430</v>
      </c>
      <c r="AA98" s="0" t="n">
        <v>190</v>
      </c>
      <c r="AB98" s="0" t="s">
        <v>426</v>
      </c>
      <c r="AC98" s="0" t="n">
        <v>0.875</v>
      </c>
      <c r="AD98" s="0" t="s">
        <v>431</v>
      </c>
      <c r="AE98" s="0" t="s">
        <v>416</v>
      </c>
      <c r="AF98" s="0" t="n">
        <v>0</v>
      </c>
      <c r="AG98" s="0" t="s">
        <v>428</v>
      </c>
      <c r="AH98" s="0" t="n">
        <v>14</v>
      </c>
      <c r="AI98" s="0" t="n">
        <v>45</v>
      </c>
      <c r="AJ98" s="0" t="n">
        <v>1</v>
      </c>
      <c r="AK98" s="2" t="s">
        <v>362</v>
      </c>
      <c r="AL98" s="0" t="n">
        <v>-18.1825061</v>
      </c>
      <c r="AM98" s="0" t="n">
        <v>-65.4673011</v>
      </c>
      <c r="AR98" s="0" t="n">
        <v>0</v>
      </c>
    </row>
    <row r="99" customFormat="false" ht="15" hidden="false" customHeight="false" outlineLevel="0" collapsed="false">
      <c r="A99" s="0" t="n">
        <v>65</v>
      </c>
      <c r="B99" s="0" t="n">
        <v>44951</v>
      </c>
      <c r="C99" s="0" t="s">
        <v>364</v>
      </c>
      <c r="D99" s="0" t="s">
        <v>131</v>
      </c>
      <c r="E99" s="0" t="s">
        <v>409</v>
      </c>
      <c r="F99" s="0" t="n">
        <v>36</v>
      </c>
      <c r="G99" s="0" t="s">
        <v>410</v>
      </c>
      <c r="H99" s="0" t="n">
        <v>7989342</v>
      </c>
      <c r="I99" s="0" t="s">
        <v>51</v>
      </c>
      <c r="J99" s="0" t="n">
        <v>0</v>
      </c>
      <c r="K99" s="0" t="n">
        <v>1</v>
      </c>
      <c r="L99" s="0" t="n">
        <v>2</v>
      </c>
      <c r="M99" s="0" t="n">
        <v>0</v>
      </c>
      <c r="N99" s="0" t="n">
        <v>1</v>
      </c>
      <c r="O99" s="0" t="n">
        <v>1</v>
      </c>
      <c r="P99" s="0" t="n">
        <v>0</v>
      </c>
      <c r="Q99" s="0" t="s">
        <v>147</v>
      </c>
      <c r="R99" s="0" t="s">
        <v>65</v>
      </c>
      <c r="S99" s="0" t="n">
        <v>3</v>
      </c>
      <c r="T99" s="0" t="s">
        <v>411</v>
      </c>
      <c r="U99" s="0" t="n">
        <v>200</v>
      </c>
      <c r="V99" s="0" t="n">
        <v>4</v>
      </c>
      <c r="W99" s="0" t="s">
        <v>423</v>
      </c>
      <c r="X99" s="0" t="s">
        <v>439</v>
      </c>
      <c r="Y99" s="0" t="s">
        <v>412</v>
      </c>
      <c r="Z99" s="0" t="s">
        <v>452</v>
      </c>
      <c r="AA99" s="0" t="n">
        <v>25</v>
      </c>
      <c r="AB99" s="0" t="s">
        <v>414</v>
      </c>
      <c r="AC99" s="0" t="n">
        <v>0.875</v>
      </c>
      <c r="AD99" s="0" t="s">
        <v>427</v>
      </c>
      <c r="AE99" s="0" t="s">
        <v>416</v>
      </c>
      <c r="AF99" s="0" t="n">
        <v>0</v>
      </c>
      <c r="AG99" s="0" t="s">
        <v>428</v>
      </c>
      <c r="AH99" s="0" t="n">
        <v>7</v>
      </c>
      <c r="AI99" s="0" t="n">
        <v>89</v>
      </c>
      <c r="AL99" s="0" t="n">
        <v>-18.2348211</v>
      </c>
      <c r="AM99" s="0" t="n">
        <v>-65.340998</v>
      </c>
      <c r="AN99" s="67" t="n">
        <v>201611010167</v>
      </c>
      <c r="AO99" s="67" t="n">
        <v>1072770615</v>
      </c>
      <c r="AP99" s="67" t="n">
        <v>837994</v>
      </c>
      <c r="AQ99" s="67" t="n">
        <v>8412421</v>
      </c>
      <c r="AR99" s="0" t="n">
        <v>0</v>
      </c>
    </row>
    <row r="100" customFormat="false" ht="15" hidden="false" customHeight="false" outlineLevel="0" collapsed="false">
      <c r="A100" s="0" t="n">
        <v>46</v>
      </c>
      <c r="B100" s="0" t="n">
        <v>44952</v>
      </c>
      <c r="C100" s="0" t="s">
        <v>365</v>
      </c>
      <c r="D100" s="0" t="s">
        <v>366</v>
      </c>
      <c r="E100" s="0" t="s">
        <v>419</v>
      </c>
      <c r="F100" s="0" t="n">
        <v>57</v>
      </c>
      <c r="G100" s="0" t="s">
        <v>420</v>
      </c>
      <c r="H100" s="0" t="n">
        <v>8810926</v>
      </c>
      <c r="I100" s="0" t="s">
        <v>59</v>
      </c>
      <c r="J100" s="0" t="n">
        <v>1</v>
      </c>
      <c r="K100" s="0" t="n">
        <v>3</v>
      </c>
      <c r="L100" s="0" t="n">
        <v>2</v>
      </c>
      <c r="M100" s="0" t="n">
        <v>0</v>
      </c>
      <c r="N100" s="0" t="n">
        <v>1</v>
      </c>
      <c r="O100" s="0" t="n">
        <v>1</v>
      </c>
      <c r="P100" s="0" t="n">
        <v>0</v>
      </c>
      <c r="Q100" s="0" t="s">
        <v>147</v>
      </c>
      <c r="R100" s="0" t="s">
        <v>76</v>
      </c>
      <c r="S100" s="0" t="n">
        <v>6</v>
      </c>
      <c r="T100" s="0" t="s">
        <v>411</v>
      </c>
      <c r="U100" s="0" t="n">
        <v>0</v>
      </c>
      <c r="V100" s="0" t="n">
        <v>2</v>
      </c>
      <c r="W100" s="0" t="s">
        <v>411</v>
      </c>
      <c r="X100" s="0" t="s">
        <v>276</v>
      </c>
      <c r="Y100" s="0" t="s">
        <v>412</v>
      </c>
      <c r="Z100" s="0" t="s">
        <v>430</v>
      </c>
      <c r="AA100" s="0" t="n">
        <v>32</v>
      </c>
      <c r="AB100" s="0" t="s">
        <v>426</v>
      </c>
      <c r="AC100" s="0" t="n">
        <v>0.916666666666667</v>
      </c>
      <c r="AD100" s="0" t="s">
        <v>431</v>
      </c>
      <c r="AE100" s="0" t="s">
        <v>416</v>
      </c>
      <c r="AF100" s="0" t="n">
        <v>0</v>
      </c>
      <c r="AG100" s="0" t="s">
        <v>422</v>
      </c>
      <c r="AH100" s="0" t="n">
        <v>0</v>
      </c>
      <c r="AI100" s="0" t="n">
        <v>53</v>
      </c>
      <c r="AL100" s="0" t="n">
        <v>-18.1770119</v>
      </c>
      <c r="AM100" s="0" t="n">
        <v>-65.3893213</v>
      </c>
      <c r="AN100" s="67" t="n">
        <v>201611010179</v>
      </c>
      <c r="AO100" s="67" t="n">
        <v>1072770989</v>
      </c>
      <c r="AP100" s="67" t="n">
        <v>837979</v>
      </c>
      <c r="AQ100" s="67" t="n">
        <v>8412447</v>
      </c>
      <c r="AR100" s="0" t="n">
        <v>0</v>
      </c>
    </row>
    <row r="101" customFormat="false" ht="15" hidden="false" customHeight="false" outlineLevel="0" collapsed="false">
      <c r="A101" s="0" t="n">
        <v>48</v>
      </c>
      <c r="B101" s="0" t="n">
        <v>44952</v>
      </c>
      <c r="C101" s="0" t="s">
        <v>367</v>
      </c>
      <c r="D101" s="0" t="s">
        <v>366</v>
      </c>
      <c r="E101" s="0" t="s">
        <v>409</v>
      </c>
      <c r="F101" s="0" t="n">
        <v>31</v>
      </c>
      <c r="G101" s="0" t="s">
        <v>410</v>
      </c>
      <c r="H101" s="0" t="n">
        <v>8857547</v>
      </c>
      <c r="I101" s="0" t="s">
        <v>59</v>
      </c>
      <c r="J101" s="0" t="n">
        <v>2</v>
      </c>
      <c r="K101" s="0" t="n">
        <v>2</v>
      </c>
      <c r="L101" s="0" t="n">
        <v>1</v>
      </c>
      <c r="M101" s="0" t="n">
        <v>1</v>
      </c>
      <c r="N101" s="0" t="n">
        <v>1</v>
      </c>
      <c r="O101" s="0" t="n">
        <v>1</v>
      </c>
      <c r="P101" s="0" t="n">
        <v>0</v>
      </c>
      <c r="Q101" s="0" t="s">
        <v>147</v>
      </c>
      <c r="R101" s="0" t="s">
        <v>76</v>
      </c>
      <c r="S101" s="0" t="n">
        <v>6</v>
      </c>
      <c r="T101" s="0" t="s">
        <v>411</v>
      </c>
      <c r="U101" s="0" t="n">
        <v>100</v>
      </c>
      <c r="V101" s="0" t="n">
        <v>1</v>
      </c>
      <c r="W101" s="0" t="s">
        <v>423</v>
      </c>
      <c r="X101" s="0" t="s">
        <v>468</v>
      </c>
      <c r="Y101" s="0" t="s">
        <v>412</v>
      </c>
      <c r="Z101" s="0" t="s">
        <v>413</v>
      </c>
      <c r="AA101" s="0" t="n">
        <v>32</v>
      </c>
      <c r="AB101" s="0" t="s">
        <v>414</v>
      </c>
      <c r="AC101" s="0" t="n">
        <v>0.875</v>
      </c>
      <c r="AD101" s="0" t="s">
        <v>431</v>
      </c>
      <c r="AE101" s="0" t="s">
        <v>433</v>
      </c>
      <c r="AF101" s="0" t="n">
        <v>35</v>
      </c>
      <c r="AG101" s="0" t="s">
        <v>428</v>
      </c>
      <c r="AH101" s="0" t="n">
        <v>7</v>
      </c>
      <c r="AI101" s="0" t="n">
        <v>54</v>
      </c>
      <c r="AL101" s="0" t="n">
        <v>-18.1367085</v>
      </c>
      <c r="AM101" s="0" t="n">
        <v>-65.4682569</v>
      </c>
      <c r="AN101" s="67" t="n">
        <v>201611010329</v>
      </c>
      <c r="AO101" s="67" t="n">
        <v>1072771247</v>
      </c>
      <c r="AP101" s="67" t="n">
        <v>837964</v>
      </c>
      <c r="AQ101" s="67" t="n">
        <v>8412427</v>
      </c>
      <c r="AR101" s="0" t="n">
        <v>0</v>
      </c>
    </row>
  </sheetData>
  <autoFilter ref="A1:AQ101">
    <sortState ref="A2:AQ101">
      <sortCondition ref="A2:A10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6" ySplit="2" topLeftCell="Q3" activePane="bottomRight" state="frozen"/>
      <selection pane="topLeft" activeCell="A1" activeCellId="0" sqref="A1"/>
      <selection pane="topRight" activeCell="Q1" activeCellId="0" sqref="Q1"/>
      <selection pane="bottomLeft" activeCell="A3" activeCellId="0" sqref="A3"/>
      <selection pane="bottomRight" activeCell="H16" activeCellId="0" sqref="H16"/>
    </sheetView>
  </sheetViews>
  <sheetFormatPr defaultColWidth="8.5390625" defaultRowHeight="15" zeroHeight="false" outlineLevelRow="0" outlineLevelCol="0"/>
  <cols>
    <col collapsed="false" customWidth="true" hidden="false" outlineLevel="0" max="1" min="1" style="0" width="5.28"/>
    <col collapsed="false" customWidth="true" hidden="false" outlineLevel="0" max="2" min="2" style="0" width="16.85"/>
    <col collapsed="false" customWidth="true" hidden="false" outlineLevel="0" max="3" min="3" style="0" width="24.15"/>
    <col collapsed="false" customWidth="true" hidden="false" outlineLevel="0" max="4" min="4" style="0" width="12"/>
    <col collapsed="false" customWidth="true" hidden="false" outlineLevel="0" max="5" min="5" style="0" width="12.57"/>
    <col collapsed="false" customWidth="true" hidden="false" outlineLevel="0" max="6" min="6" style="0" width="16.14"/>
    <col collapsed="false" customWidth="true" hidden="false" outlineLevel="0" max="7" min="7" style="0" width="25.72"/>
    <col collapsed="false" customWidth="true" hidden="true" outlineLevel="0" max="9" min="9" style="0" width="16.57"/>
    <col collapsed="false" customWidth="true" hidden="true" outlineLevel="0" max="12" min="10" style="0" width="9.14"/>
    <col collapsed="false" customWidth="true" hidden="true" outlineLevel="0" max="13" min="13" style="77" width="12.85"/>
    <col collapsed="false" customWidth="true" hidden="true" outlineLevel="0" max="14" min="14" style="0" width="13.85"/>
    <col collapsed="false" customWidth="true" hidden="false" outlineLevel="0" max="16" min="16" style="0" width="18.14"/>
    <col collapsed="false" customWidth="true" hidden="false" outlineLevel="0" max="17" min="17" style="0" width="14.14"/>
    <col collapsed="false" customWidth="true" hidden="false" outlineLevel="0" max="18" min="18" style="0" width="14.28"/>
    <col collapsed="false" customWidth="true" hidden="true" outlineLevel="0" max="19" min="19" style="0" width="14.85"/>
    <col collapsed="false" customWidth="true" hidden="true" outlineLevel="0" max="20" min="20" style="0" width="12.85"/>
    <col collapsed="false" customWidth="true" hidden="true" outlineLevel="0" max="21" min="21" style="0" width="12"/>
    <col collapsed="false" customWidth="true" hidden="true" outlineLevel="0" max="22" min="22" style="0" width="9.14"/>
    <col collapsed="false" customWidth="true" hidden="false" outlineLevel="0" max="23" min="23" style="0" width="16.14"/>
    <col collapsed="false" customWidth="true" hidden="false" outlineLevel="0" max="24" min="24" style="0" width="12"/>
    <col collapsed="false" customWidth="true" hidden="false" outlineLevel="0" max="25" min="25" style="0" width="13.43"/>
    <col collapsed="false" customWidth="true" hidden="false" outlineLevel="0" max="26" min="26" style="0" width="11.14"/>
    <col collapsed="false" customWidth="true" hidden="false" outlineLevel="0" max="27" min="27" style="0" width="12.14"/>
    <col collapsed="false" customWidth="true" hidden="false" outlineLevel="0" max="28" min="28" style="0" width="10.85"/>
    <col collapsed="false" customWidth="true" hidden="false" outlineLevel="0" max="29" min="29" style="0" width="10.71"/>
    <col collapsed="false" customWidth="true" hidden="false" outlineLevel="0" max="31" min="30" style="0" width="69.14"/>
    <col collapsed="false" customWidth="true" hidden="false" outlineLevel="0" max="32" min="32" style="0" width="99.85"/>
    <col collapsed="false" customWidth="true" hidden="false" outlineLevel="0" max="33" min="33" style="0" width="14.28"/>
    <col collapsed="false" customWidth="true" hidden="false" outlineLevel="0" max="34" min="34" style="0" width="39.14"/>
  </cols>
  <sheetData>
    <row r="1" s="87" customFormat="true" ht="15" hidden="false" customHeight="true" outlineLevel="0" collapsed="false">
      <c r="A1" s="78" t="s">
        <v>469</v>
      </c>
      <c r="B1" s="78" t="s">
        <v>1</v>
      </c>
      <c r="C1" s="78" t="s">
        <v>2</v>
      </c>
      <c r="D1" s="78" t="s">
        <v>378</v>
      </c>
      <c r="E1" s="78" t="s">
        <v>3</v>
      </c>
      <c r="F1" s="78" t="s">
        <v>387</v>
      </c>
      <c r="G1" s="78" t="s">
        <v>5</v>
      </c>
      <c r="H1" s="78" t="s">
        <v>4</v>
      </c>
      <c r="I1" s="78" t="s">
        <v>9</v>
      </c>
      <c r="J1" s="78" t="s">
        <v>389</v>
      </c>
      <c r="K1" s="78" t="s">
        <v>390</v>
      </c>
      <c r="L1" s="78" t="s">
        <v>391</v>
      </c>
      <c r="M1" s="79" t="s">
        <v>396</v>
      </c>
      <c r="N1" s="80" t="s">
        <v>397</v>
      </c>
      <c r="O1" s="78" t="s">
        <v>0</v>
      </c>
      <c r="P1" s="80" t="s">
        <v>7</v>
      </c>
      <c r="Q1" s="78" t="s">
        <v>10</v>
      </c>
      <c r="R1" s="78" t="s">
        <v>11</v>
      </c>
      <c r="S1" s="81" t="s">
        <v>403</v>
      </c>
      <c r="T1" s="81" t="s">
        <v>404</v>
      </c>
      <c r="U1" s="81" t="s">
        <v>405</v>
      </c>
      <c r="V1" s="81" t="s">
        <v>406</v>
      </c>
      <c r="W1" s="82" t="s">
        <v>470</v>
      </c>
      <c r="X1" s="82" t="s">
        <v>471</v>
      </c>
      <c r="Y1" s="82"/>
      <c r="Z1" s="82" t="s">
        <v>472</v>
      </c>
      <c r="AA1" s="82"/>
      <c r="AB1" s="83" t="s">
        <v>473</v>
      </c>
      <c r="AC1" s="82" t="s">
        <v>474</v>
      </c>
      <c r="AD1" s="84"/>
      <c r="AE1" s="82" t="s">
        <v>475</v>
      </c>
      <c r="AF1" s="85" t="s">
        <v>476</v>
      </c>
      <c r="AG1" s="86" t="s">
        <v>477</v>
      </c>
      <c r="AH1" s="80" t="s">
        <v>478</v>
      </c>
    </row>
    <row r="2" s="87" customFormat="true" ht="15" hidden="false" customHeight="false" outlineLevel="0" collapsed="false">
      <c r="A2" s="78"/>
      <c r="B2" s="78"/>
      <c r="C2" s="78"/>
      <c r="D2" s="78"/>
      <c r="E2" s="78"/>
      <c r="F2" s="78"/>
      <c r="G2" s="78"/>
      <c r="H2" s="78"/>
      <c r="I2" s="78"/>
      <c r="J2" s="78"/>
      <c r="K2" s="78"/>
      <c r="L2" s="78"/>
      <c r="M2" s="79"/>
      <c r="N2" s="80"/>
      <c r="O2" s="78"/>
      <c r="P2" s="80"/>
      <c r="Q2" s="78"/>
      <c r="R2" s="78"/>
      <c r="S2" s="81"/>
      <c r="T2" s="81"/>
      <c r="U2" s="81"/>
      <c r="V2" s="81"/>
      <c r="W2" s="82"/>
      <c r="X2" s="81" t="s">
        <v>479</v>
      </c>
      <c r="Y2" s="81" t="s">
        <v>480</v>
      </c>
      <c r="Z2" s="81" t="s">
        <v>479</v>
      </c>
      <c r="AA2" s="81" t="s">
        <v>480</v>
      </c>
      <c r="AB2" s="83"/>
      <c r="AC2" s="82"/>
      <c r="AD2" s="88" t="s">
        <v>481</v>
      </c>
      <c r="AE2" s="82"/>
      <c r="AF2" s="85"/>
      <c r="AG2" s="7" t="s">
        <v>482</v>
      </c>
      <c r="AH2" s="80"/>
    </row>
    <row r="3" customFormat="false" ht="60.75" hidden="false" customHeight="false" outlineLevel="0" collapsed="false">
      <c r="A3" s="10" t="n">
        <v>1</v>
      </c>
      <c r="B3" s="10" t="s">
        <v>180</v>
      </c>
      <c r="C3" s="10" t="s">
        <v>181</v>
      </c>
      <c r="D3" s="10" t="s">
        <v>410</v>
      </c>
      <c r="E3" s="10" t="s">
        <v>42</v>
      </c>
      <c r="F3" s="10" t="s">
        <v>412</v>
      </c>
      <c r="G3" s="10" t="s">
        <v>65</v>
      </c>
      <c r="H3" s="10" t="n">
        <v>4</v>
      </c>
      <c r="I3" s="10" t="n">
        <v>200</v>
      </c>
      <c r="J3" s="10" t="n">
        <v>4</v>
      </c>
      <c r="K3" s="10" t="s">
        <v>411</v>
      </c>
      <c r="L3" s="10" t="s">
        <v>276</v>
      </c>
      <c r="M3" s="89" t="n">
        <v>0.875</v>
      </c>
      <c r="N3" s="10" t="s">
        <v>431</v>
      </c>
      <c r="O3" s="10" t="n">
        <v>23</v>
      </c>
      <c r="P3" s="90" t="s">
        <v>182</v>
      </c>
      <c r="Q3" s="10" t="n">
        <v>-18.1559042</v>
      </c>
      <c r="R3" s="10" t="n">
        <v>-65.458997</v>
      </c>
      <c r="S3" s="91"/>
      <c r="T3" s="91"/>
      <c r="U3" s="91"/>
      <c r="V3" s="91"/>
      <c r="W3" s="92" t="n">
        <v>45127</v>
      </c>
      <c r="X3" s="92" t="n">
        <v>45127</v>
      </c>
      <c r="Y3" s="92" t="n">
        <v>45252</v>
      </c>
      <c r="Z3" s="92"/>
      <c r="AA3" s="92"/>
      <c r="AB3" s="93" t="n">
        <v>4</v>
      </c>
      <c r="AC3" s="94" t="s">
        <v>147</v>
      </c>
      <c r="AD3" s="95" t="s">
        <v>483</v>
      </c>
      <c r="AE3" s="95" t="s">
        <v>484</v>
      </c>
      <c r="AF3" s="96" t="s">
        <v>485</v>
      </c>
      <c r="AG3" s="20" t="s">
        <v>486</v>
      </c>
      <c r="AH3" s="10"/>
    </row>
    <row r="4" customFormat="false" ht="30.75" hidden="false" customHeight="false" outlineLevel="0" collapsed="false">
      <c r="A4" s="10" t="n">
        <v>2</v>
      </c>
      <c r="B4" s="10" t="s">
        <v>311</v>
      </c>
      <c r="C4" s="10" t="s">
        <v>312</v>
      </c>
      <c r="D4" s="10" t="s">
        <v>410</v>
      </c>
      <c r="E4" s="10" t="s">
        <v>42</v>
      </c>
      <c r="F4" s="10" t="s">
        <v>412</v>
      </c>
      <c r="G4" s="10" t="s">
        <v>47</v>
      </c>
      <c r="H4" s="10" t="n">
        <v>6</v>
      </c>
      <c r="I4" s="10" t="n">
        <v>400</v>
      </c>
      <c r="J4" s="10" t="n">
        <v>3</v>
      </c>
      <c r="K4" s="10" t="s">
        <v>411</v>
      </c>
      <c r="L4" s="10" t="s">
        <v>276</v>
      </c>
      <c r="M4" s="89" t="n">
        <v>0.916666666666666</v>
      </c>
      <c r="N4" s="10" t="s">
        <v>187</v>
      </c>
      <c r="O4" s="10" t="n">
        <v>38</v>
      </c>
      <c r="P4" s="97" t="s">
        <v>313</v>
      </c>
      <c r="Q4" s="10" t="n">
        <v>-18.1484972</v>
      </c>
      <c r="R4" s="10" t="n">
        <v>-65.4761026</v>
      </c>
      <c r="S4" s="91"/>
      <c r="T4" s="91"/>
      <c r="U4" s="91"/>
      <c r="V4" s="91"/>
      <c r="W4" s="92" t="n">
        <v>45127</v>
      </c>
      <c r="X4" s="92"/>
      <c r="Y4" s="92"/>
      <c r="Z4" s="92"/>
      <c r="AA4" s="92"/>
      <c r="AB4" s="93" t="n">
        <v>0</v>
      </c>
      <c r="AC4" s="94" t="s">
        <v>412</v>
      </c>
      <c r="AD4" s="95" t="s">
        <v>487</v>
      </c>
      <c r="AE4" s="94" t="s">
        <v>276</v>
      </c>
      <c r="AF4" s="20" t="s">
        <v>488</v>
      </c>
      <c r="AG4" s="20" t="s">
        <v>486</v>
      </c>
      <c r="AH4" s="10"/>
    </row>
    <row r="5" customFormat="false" ht="76.5" hidden="false" customHeight="false" outlineLevel="0" collapsed="false">
      <c r="A5" s="10" t="n">
        <v>3</v>
      </c>
      <c r="B5" s="10" t="s">
        <v>315</v>
      </c>
      <c r="C5" s="10" t="s">
        <v>316</v>
      </c>
      <c r="D5" s="10" t="s">
        <v>410</v>
      </c>
      <c r="E5" s="10" t="s">
        <v>42</v>
      </c>
      <c r="F5" s="10" t="s">
        <v>147</v>
      </c>
      <c r="G5" s="10" t="s">
        <v>65</v>
      </c>
      <c r="H5" s="10" t="n">
        <v>3</v>
      </c>
      <c r="I5" s="10" t="n">
        <v>300</v>
      </c>
      <c r="J5" s="10" t="n">
        <v>4</v>
      </c>
      <c r="K5" s="10" t="s">
        <v>411</v>
      </c>
      <c r="L5" s="10" t="s">
        <v>276</v>
      </c>
      <c r="M5" s="89" t="n">
        <v>0.916666666666667</v>
      </c>
      <c r="N5" s="10" t="s">
        <v>431</v>
      </c>
      <c r="O5" s="10" t="n">
        <v>39</v>
      </c>
      <c r="P5" s="98" t="s">
        <v>317</v>
      </c>
      <c r="Q5" s="10" t="n">
        <v>-18.1495855</v>
      </c>
      <c r="R5" s="10" t="n">
        <v>-65.4725728</v>
      </c>
      <c r="S5" s="91"/>
      <c r="T5" s="91"/>
      <c r="U5" s="91"/>
      <c r="V5" s="91"/>
      <c r="W5" s="92" t="n">
        <v>45127</v>
      </c>
      <c r="X5" s="92"/>
      <c r="Y5" s="92"/>
      <c r="Z5" s="92"/>
      <c r="AA5" s="92"/>
      <c r="AB5" s="93" t="n">
        <v>0</v>
      </c>
      <c r="AC5" s="94" t="s">
        <v>147</v>
      </c>
      <c r="AD5" s="95" t="s">
        <v>489</v>
      </c>
      <c r="AE5" s="95" t="s">
        <v>490</v>
      </c>
      <c r="AF5" s="96" t="s">
        <v>485</v>
      </c>
      <c r="AG5" s="20" t="s">
        <v>486</v>
      </c>
      <c r="AH5" s="10"/>
    </row>
    <row r="6" customFormat="false" ht="59.25" hidden="false" customHeight="true" outlineLevel="0" collapsed="false">
      <c r="A6" s="10" t="n">
        <v>4</v>
      </c>
      <c r="B6" s="10" t="s">
        <v>327</v>
      </c>
      <c r="C6" s="10" t="s">
        <v>328</v>
      </c>
      <c r="D6" s="10" t="s">
        <v>410</v>
      </c>
      <c r="E6" s="10" t="s">
        <v>42</v>
      </c>
      <c r="F6" s="10" t="s">
        <v>412</v>
      </c>
      <c r="G6" s="10" t="s">
        <v>65</v>
      </c>
      <c r="H6" s="10" t="n">
        <v>4</v>
      </c>
      <c r="I6" s="10" t="n">
        <v>500</v>
      </c>
      <c r="J6" s="10" t="n">
        <v>2</v>
      </c>
      <c r="K6" s="10" t="s">
        <v>411</v>
      </c>
      <c r="L6" s="10" t="s">
        <v>276</v>
      </c>
      <c r="M6" s="89" t="n">
        <v>0.916666666666667</v>
      </c>
      <c r="N6" s="10" t="s">
        <v>431</v>
      </c>
      <c r="O6" s="10" t="n">
        <v>40</v>
      </c>
      <c r="P6" s="99" t="s">
        <v>329</v>
      </c>
      <c r="Q6" s="100" t="n">
        <v>-18.1498837</v>
      </c>
      <c r="R6" s="10" t="n">
        <v>-65.4762575</v>
      </c>
      <c r="S6" s="91"/>
      <c r="T6" s="91"/>
      <c r="U6" s="91"/>
      <c r="V6" s="91"/>
      <c r="W6" s="92" t="n">
        <v>45127</v>
      </c>
      <c r="X6" s="92"/>
      <c r="Y6" s="92"/>
      <c r="Z6" s="92"/>
      <c r="AA6" s="92"/>
      <c r="AB6" s="93" t="n">
        <v>0</v>
      </c>
      <c r="AC6" s="94" t="s">
        <v>147</v>
      </c>
      <c r="AD6" s="95" t="s">
        <v>491</v>
      </c>
      <c r="AE6" s="95" t="s">
        <v>492</v>
      </c>
      <c r="AF6" s="28" t="s">
        <v>493</v>
      </c>
      <c r="AG6" s="20" t="s">
        <v>494</v>
      </c>
      <c r="AH6" s="10"/>
    </row>
    <row r="7" customFormat="false" ht="30.75" hidden="false" customHeight="false" outlineLevel="0" collapsed="false">
      <c r="A7" s="10" t="n">
        <v>5</v>
      </c>
      <c r="B7" s="10" t="s">
        <v>360</v>
      </c>
      <c r="C7" s="10" t="s">
        <v>361</v>
      </c>
      <c r="D7" s="10" t="s">
        <v>410</v>
      </c>
      <c r="E7" s="10" t="s">
        <v>42</v>
      </c>
      <c r="F7" s="10" t="s">
        <v>147</v>
      </c>
      <c r="G7" s="10" t="s">
        <v>76</v>
      </c>
      <c r="H7" s="10" t="n">
        <v>7</v>
      </c>
      <c r="I7" s="10" t="n">
        <v>200</v>
      </c>
      <c r="J7" s="10" t="n">
        <v>4</v>
      </c>
      <c r="K7" s="10" t="s">
        <v>411</v>
      </c>
      <c r="L7" s="10" t="s">
        <v>276</v>
      </c>
      <c r="M7" s="89" t="n">
        <v>0.875</v>
      </c>
      <c r="N7" s="10" t="s">
        <v>431</v>
      </c>
      <c r="O7" s="10" t="n">
        <v>45</v>
      </c>
      <c r="P7" s="98" t="s">
        <v>362</v>
      </c>
      <c r="Q7" s="10" t="n">
        <v>-18.1825061</v>
      </c>
      <c r="R7" s="10" t="n">
        <v>-65.4673011</v>
      </c>
      <c r="S7" s="91"/>
      <c r="T7" s="91"/>
      <c r="U7" s="91"/>
      <c r="V7" s="91"/>
      <c r="W7" s="92" t="n">
        <v>45127</v>
      </c>
      <c r="X7" s="92"/>
      <c r="Y7" s="92"/>
      <c r="Z7" s="92"/>
      <c r="AA7" s="92"/>
      <c r="AB7" s="93" t="n">
        <v>0</v>
      </c>
      <c r="AC7" s="94" t="s">
        <v>147</v>
      </c>
      <c r="AD7" s="95" t="s">
        <v>495</v>
      </c>
      <c r="AE7" s="95" t="s">
        <v>496</v>
      </c>
      <c r="AF7" s="101" t="s">
        <v>497</v>
      </c>
      <c r="AG7" s="20" t="s">
        <v>486</v>
      </c>
      <c r="AH7" s="10"/>
    </row>
    <row r="8" customFormat="false" ht="53.25" hidden="false" customHeight="true" outlineLevel="0" collapsed="false">
      <c r="A8" s="10" t="n">
        <v>6</v>
      </c>
      <c r="B8" s="10" t="s">
        <v>130</v>
      </c>
      <c r="C8" s="10" t="s">
        <v>131</v>
      </c>
      <c r="D8" s="10" t="s">
        <v>410</v>
      </c>
      <c r="E8" s="10" t="s">
        <v>51</v>
      </c>
      <c r="F8" s="10" t="s">
        <v>147</v>
      </c>
      <c r="G8" s="10" t="s">
        <v>76</v>
      </c>
      <c r="H8" s="10" t="n">
        <v>7</v>
      </c>
      <c r="I8" s="10" t="n">
        <v>100</v>
      </c>
      <c r="J8" s="10" t="n">
        <v>3</v>
      </c>
      <c r="K8" s="10" t="s">
        <v>411</v>
      </c>
      <c r="L8" s="10" t="s">
        <v>276</v>
      </c>
      <c r="M8" s="89" t="n">
        <v>0.875</v>
      </c>
      <c r="N8" s="10" t="s">
        <v>448</v>
      </c>
      <c r="O8" s="10" t="n">
        <v>63</v>
      </c>
      <c r="P8" s="99" t="s">
        <v>132</v>
      </c>
      <c r="Q8" s="10" t="n">
        <v>-18.235216</v>
      </c>
      <c r="R8" s="10" t="n">
        <v>-65.3418804</v>
      </c>
      <c r="S8" s="91" t="n">
        <v>201611011917</v>
      </c>
      <c r="T8" s="91" t="n">
        <v>1072771332</v>
      </c>
      <c r="U8" s="91" t="n">
        <v>837992</v>
      </c>
      <c r="V8" s="91" t="n">
        <v>8412449</v>
      </c>
      <c r="W8" s="92" t="n">
        <v>45041</v>
      </c>
      <c r="X8" s="92" t="n">
        <v>45041</v>
      </c>
      <c r="Y8" s="92" t="n">
        <v>45135</v>
      </c>
      <c r="Z8" s="92" t="n">
        <v>45126</v>
      </c>
      <c r="AA8" s="92" t="n">
        <v>45322</v>
      </c>
      <c r="AB8" s="93" t="n">
        <v>9</v>
      </c>
      <c r="AC8" s="94" t="s">
        <v>147</v>
      </c>
      <c r="AD8" s="95" t="s">
        <v>498</v>
      </c>
      <c r="AE8" s="95" t="s">
        <v>499</v>
      </c>
      <c r="AF8" s="96" t="s">
        <v>500</v>
      </c>
      <c r="AG8" s="20" t="s">
        <v>494</v>
      </c>
      <c r="AH8" s="10"/>
    </row>
    <row r="9" customFormat="false" ht="49.5" hidden="false" customHeight="true" outlineLevel="0" collapsed="false">
      <c r="A9" s="10" t="n">
        <v>7</v>
      </c>
      <c r="B9" s="10" t="s">
        <v>135</v>
      </c>
      <c r="C9" s="10" t="s">
        <v>136</v>
      </c>
      <c r="D9" s="10" t="s">
        <v>420</v>
      </c>
      <c r="E9" s="10" t="s">
        <v>51</v>
      </c>
      <c r="F9" s="10" t="s">
        <v>147</v>
      </c>
      <c r="G9" s="10" t="s">
        <v>137</v>
      </c>
      <c r="H9" s="10" t="n">
        <v>7</v>
      </c>
      <c r="I9" s="10" t="n">
        <v>200</v>
      </c>
      <c r="J9" s="10" t="n">
        <v>4</v>
      </c>
      <c r="K9" s="10" t="s">
        <v>423</v>
      </c>
      <c r="L9" s="10" t="s">
        <v>450</v>
      </c>
      <c r="M9" s="89" t="n">
        <v>0.916666666666667</v>
      </c>
      <c r="N9" s="10" t="s">
        <v>427</v>
      </c>
      <c r="O9" s="10" t="n">
        <v>64</v>
      </c>
      <c r="P9" s="99" t="s">
        <v>138</v>
      </c>
      <c r="Q9" s="10" t="n">
        <v>-18.2345213</v>
      </c>
      <c r="R9" s="10" t="n">
        <v>-65.3468323</v>
      </c>
      <c r="S9" s="91" t="n">
        <v>201611010083</v>
      </c>
      <c r="T9" s="91" t="n">
        <v>1072771331</v>
      </c>
      <c r="U9" s="91" t="n">
        <v>837962</v>
      </c>
      <c r="V9" s="91" t="n">
        <v>8412422</v>
      </c>
      <c r="W9" s="92" t="n">
        <v>45043</v>
      </c>
      <c r="X9" s="92" t="n">
        <v>45043</v>
      </c>
      <c r="Y9" s="92" t="n">
        <v>45119</v>
      </c>
      <c r="Z9" s="92" t="n">
        <v>45125</v>
      </c>
      <c r="AA9" s="92" t="n">
        <v>45322</v>
      </c>
      <c r="AB9" s="93" t="n">
        <v>9</v>
      </c>
      <c r="AC9" s="94" t="s">
        <v>147</v>
      </c>
      <c r="AD9" s="95" t="s">
        <v>501</v>
      </c>
      <c r="AE9" s="95" t="s">
        <v>499</v>
      </c>
      <c r="AF9" s="96" t="s">
        <v>500</v>
      </c>
      <c r="AG9" s="20" t="s">
        <v>494</v>
      </c>
      <c r="AH9" s="10"/>
    </row>
    <row r="10" customFormat="false" ht="21" hidden="false" customHeight="false" outlineLevel="0" collapsed="false">
      <c r="A10" s="10" t="n">
        <v>8</v>
      </c>
      <c r="B10" s="10" t="s">
        <v>162</v>
      </c>
      <c r="C10" s="10" t="s">
        <v>163</v>
      </c>
      <c r="D10" s="10" t="s">
        <v>410</v>
      </c>
      <c r="E10" s="10" t="s">
        <v>51</v>
      </c>
      <c r="F10" s="10" t="s">
        <v>147</v>
      </c>
      <c r="G10" s="10" t="s">
        <v>34</v>
      </c>
      <c r="H10" s="10" t="n">
        <v>5</v>
      </c>
      <c r="I10" s="10" t="n">
        <v>200</v>
      </c>
      <c r="J10" s="10" t="n">
        <v>3</v>
      </c>
      <c r="K10" s="10" t="s">
        <v>423</v>
      </c>
      <c r="L10" s="10" t="s">
        <v>429</v>
      </c>
      <c r="M10" s="89" t="n">
        <v>0.875</v>
      </c>
      <c r="N10" s="10" t="s">
        <v>427</v>
      </c>
      <c r="O10" s="10" t="n">
        <v>67</v>
      </c>
      <c r="P10" s="102" t="s">
        <v>164</v>
      </c>
      <c r="Q10" s="10" t="n">
        <v>-18.2330636</v>
      </c>
      <c r="R10" s="10" t="n">
        <v>-65.3538752</v>
      </c>
      <c r="S10" s="91" t="n">
        <v>201611011242</v>
      </c>
      <c r="T10" s="91" t="n">
        <v>1072770181</v>
      </c>
      <c r="U10" s="91" t="n">
        <v>837990</v>
      </c>
      <c r="V10" s="91" t="n">
        <v>8412438</v>
      </c>
      <c r="W10" s="92"/>
      <c r="X10" s="92"/>
      <c r="Y10" s="92"/>
      <c r="Z10" s="92"/>
      <c r="AA10" s="92"/>
      <c r="AB10" s="93" t="n">
        <v>0</v>
      </c>
      <c r="AC10" s="94" t="s">
        <v>412</v>
      </c>
      <c r="AD10" s="94" t="s">
        <v>276</v>
      </c>
      <c r="AE10" s="94" t="s">
        <v>276</v>
      </c>
      <c r="AF10" s="20" t="s">
        <v>502</v>
      </c>
      <c r="AG10" s="20" t="s">
        <v>503</v>
      </c>
      <c r="AH10" s="10"/>
    </row>
    <row r="11" customFormat="false" ht="30.75" hidden="false" customHeight="false" outlineLevel="0" collapsed="false">
      <c r="A11" s="10" t="n">
        <v>9</v>
      </c>
      <c r="B11" s="10" t="s">
        <v>184</v>
      </c>
      <c r="C11" s="10" t="s">
        <v>144</v>
      </c>
      <c r="D11" s="10" t="s">
        <v>410</v>
      </c>
      <c r="E11" s="10" t="s">
        <v>51</v>
      </c>
      <c r="F11" s="10" t="s">
        <v>412</v>
      </c>
      <c r="G11" s="10" t="s">
        <v>76</v>
      </c>
      <c r="H11" s="10" t="n">
        <v>7</v>
      </c>
      <c r="I11" s="10" t="n">
        <v>200</v>
      </c>
      <c r="J11" s="10" t="n">
        <v>3</v>
      </c>
      <c r="K11" s="10" t="s">
        <v>411</v>
      </c>
      <c r="L11" s="10" t="s">
        <v>276</v>
      </c>
      <c r="M11" s="89" t="n">
        <v>0.916666666666667</v>
      </c>
      <c r="N11" s="10" t="s">
        <v>415</v>
      </c>
      <c r="O11" s="10" t="n">
        <v>69</v>
      </c>
      <c r="P11" s="102" t="s">
        <v>504</v>
      </c>
      <c r="Q11" s="10" t="n">
        <v>-18.2308452</v>
      </c>
      <c r="R11" s="10" t="n">
        <v>-65.3459123</v>
      </c>
      <c r="S11" s="91" t="n">
        <v>201611010367</v>
      </c>
      <c r="T11" s="91" t="n">
        <v>1072770997</v>
      </c>
      <c r="U11" s="91" t="n">
        <v>837951</v>
      </c>
      <c r="V11" s="91" t="n">
        <v>8412448</v>
      </c>
      <c r="W11" s="92" t="n">
        <v>45043</v>
      </c>
      <c r="X11" s="92" t="n">
        <v>45043</v>
      </c>
      <c r="Y11" s="92" t="n">
        <v>45125</v>
      </c>
      <c r="Z11" s="92"/>
      <c r="AA11" s="92"/>
      <c r="AB11" s="93" t="n">
        <v>3</v>
      </c>
      <c r="AC11" s="94" t="s">
        <v>412</v>
      </c>
      <c r="AD11" s="95" t="s">
        <v>505</v>
      </c>
      <c r="AE11" s="94" t="s">
        <v>276</v>
      </c>
      <c r="AF11" s="20" t="s">
        <v>502</v>
      </c>
      <c r="AG11" s="20" t="s">
        <v>503</v>
      </c>
      <c r="AH11" s="10"/>
    </row>
    <row r="12" customFormat="false" ht="60" hidden="false" customHeight="true" outlineLevel="0" collapsed="false">
      <c r="A12" s="10" t="n">
        <v>10</v>
      </c>
      <c r="B12" s="10" t="s">
        <v>216</v>
      </c>
      <c r="C12" s="10" t="s">
        <v>131</v>
      </c>
      <c r="D12" s="10" t="s">
        <v>410</v>
      </c>
      <c r="E12" s="10" t="s">
        <v>51</v>
      </c>
      <c r="F12" s="10" t="s">
        <v>147</v>
      </c>
      <c r="G12" s="10" t="s">
        <v>34</v>
      </c>
      <c r="H12" s="10" t="n">
        <v>5</v>
      </c>
      <c r="I12" s="10" t="n">
        <v>0</v>
      </c>
      <c r="J12" s="10" t="n">
        <v>2</v>
      </c>
      <c r="K12" s="10" t="s">
        <v>423</v>
      </c>
      <c r="L12" s="10" t="s">
        <v>429</v>
      </c>
      <c r="M12" s="89" t="n">
        <v>0.875</v>
      </c>
      <c r="N12" s="10" t="s">
        <v>427</v>
      </c>
      <c r="O12" s="10" t="n">
        <v>72</v>
      </c>
      <c r="P12" s="99" t="s">
        <v>217</v>
      </c>
      <c r="Q12" s="10" t="n">
        <v>-18.2364929</v>
      </c>
      <c r="R12" s="10" t="n">
        <v>-65.3430108</v>
      </c>
      <c r="S12" s="91" t="n">
        <v>201611011934</v>
      </c>
      <c r="T12" s="91" t="n">
        <v>1072770257</v>
      </c>
      <c r="U12" s="91" t="n">
        <v>8371000</v>
      </c>
      <c r="V12" s="91" t="n">
        <v>8412420</v>
      </c>
      <c r="W12" s="92" t="n">
        <v>45042</v>
      </c>
      <c r="X12" s="92" t="n">
        <v>45042</v>
      </c>
      <c r="Y12" s="92" t="n">
        <v>45125</v>
      </c>
      <c r="Z12" s="92"/>
      <c r="AA12" s="92"/>
      <c r="AB12" s="93" t="n">
        <v>3</v>
      </c>
      <c r="AC12" s="94" t="s">
        <v>147</v>
      </c>
      <c r="AD12" s="95" t="s">
        <v>506</v>
      </c>
      <c r="AE12" s="95" t="s">
        <v>507</v>
      </c>
      <c r="AF12" s="96" t="s">
        <v>500</v>
      </c>
      <c r="AG12" s="20" t="s">
        <v>494</v>
      </c>
      <c r="AH12" s="10"/>
    </row>
    <row r="13" customFormat="false" ht="21" hidden="false" customHeight="false" outlineLevel="0" collapsed="false">
      <c r="A13" s="10" t="n">
        <v>11</v>
      </c>
      <c r="B13" s="10" t="s">
        <v>244</v>
      </c>
      <c r="C13" s="10" t="s">
        <v>245</v>
      </c>
      <c r="D13" s="10" t="s">
        <v>410</v>
      </c>
      <c r="E13" s="10" t="s">
        <v>51</v>
      </c>
      <c r="F13" s="10" t="s">
        <v>147</v>
      </c>
      <c r="G13" s="10" t="s">
        <v>65</v>
      </c>
      <c r="H13" s="10" t="n">
        <v>5</v>
      </c>
      <c r="I13" s="10" t="n">
        <v>400</v>
      </c>
      <c r="J13" s="10" t="n">
        <v>3</v>
      </c>
      <c r="K13" s="10" t="s">
        <v>411</v>
      </c>
      <c r="L13" s="10" t="s">
        <v>276</v>
      </c>
      <c r="M13" s="89" t="n">
        <v>0.875</v>
      </c>
      <c r="N13" s="10" t="s">
        <v>427</v>
      </c>
      <c r="O13" s="10" t="n">
        <v>74</v>
      </c>
      <c r="P13" s="102" t="s">
        <v>246</v>
      </c>
      <c r="Q13" s="10" t="n">
        <v>-18.2401953</v>
      </c>
      <c r="R13" s="10" t="n">
        <v>-65.3418958</v>
      </c>
      <c r="S13" s="91" t="n">
        <v>201611010349</v>
      </c>
      <c r="T13" s="91" t="n">
        <v>1072770253</v>
      </c>
      <c r="U13" s="91" t="n">
        <v>837976</v>
      </c>
      <c r="V13" s="91" t="n">
        <v>8412446</v>
      </c>
      <c r="W13" s="92" t="n">
        <v>45042</v>
      </c>
      <c r="X13" s="92"/>
      <c r="Y13" s="92"/>
      <c r="Z13" s="92"/>
      <c r="AA13" s="92"/>
      <c r="AB13" s="93" t="n">
        <v>0</v>
      </c>
      <c r="AC13" s="94" t="s">
        <v>412</v>
      </c>
      <c r="AD13" s="94" t="s">
        <v>276</v>
      </c>
      <c r="AE13" s="94" t="s">
        <v>276</v>
      </c>
      <c r="AF13" s="20" t="s">
        <v>502</v>
      </c>
      <c r="AG13" s="20" t="s">
        <v>503</v>
      </c>
      <c r="AH13" s="10"/>
    </row>
    <row r="14" customFormat="false" ht="21" hidden="false" customHeight="false" outlineLevel="0" collapsed="false">
      <c r="A14" s="10" t="n">
        <v>12</v>
      </c>
      <c r="B14" s="10" t="s">
        <v>253</v>
      </c>
      <c r="C14" s="10" t="s">
        <v>254</v>
      </c>
      <c r="D14" s="10" t="s">
        <v>420</v>
      </c>
      <c r="E14" s="10" t="s">
        <v>51</v>
      </c>
      <c r="F14" s="10" t="s">
        <v>147</v>
      </c>
      <c r="G14" s="10" t="s">
        <v>60</v>
      </c>
      <c r="H14" s="10" t="n">
        <v>11</v>
      </c>
      <c r="I14" s="10" t="n">
        <v>600</v>
      </c>
      <c r="J14" s="10" t="n">
        <v>5</v>
      </c>
      <c r="K14" s="10" t="s">
        <v>423</v>
      </c>
      <c r="L14" s="10" t="s">
        <v>463</v>
      </c>
      <c r="M14" s="89" t="n">
        <v>0.833333333333333</v>
      </c>
      <c r="N14" s="10" t="s">
        <v>415</v>
      </c>
      <c r="O14" s="10" t="n">
        <v>75</v>
      </c>
      <c r="P14" s="102" t="s">
        <v>246</v>
      </c>
      <c r="Q14" s="10" t="n">
        <v>-18.2317261</v>
      </c>
      <c r="R14" s="10" t="n">
        <v>-65.3539181</v>
      </c>
      <c r="S14" s="91" t="n">
        <v>201611010274</v>
      </c>
      <c r="T14" s="91" t="n">
        <v>1072770251</v>
      </c>
      <c r="U14" s="91" t="n">
        <v>837981</v>
      </c>
      <c r="V14" s="91" t="n">
        <v>8412423</v>
      </c>
      <c r="W14" s="92" t="n">
        <v>45042</v>
      </c>
      <c r="X14" s="92"/>
      <c r="Y14" s="92"/>
      <c r="Z14" s="92"/>
      <c r="AA14" s="92"/>
      <c r="AB14" s="93" t="n">
        <v>0</v>
      </c>
      <c r="AC14" s="94" t="s">
        <v>412</v>
      </c>
      <c r="AD14" s="94" t="s">
        <v>276</v>
      </c>
      <c r="AE14" s="94" t="s">
        <v>276</v>
      </c>
      <c r="AF14" s="20" t="s">
        <v>502</v>
      </c>
      <c r="AG14" s="20" t="s">
        <v>503</v>
      </c>
      <c r="AH14" s="10"/>
    </row>
    <row r="15" customFormat="false" ht="74.25" hidden="false" customHeight="true" outlineLevel="0" collapsed="false">
      <c r="A15" s="10" t="n">
        <v>13</v>
      </c>
      <c r="B15" s="10" t="s">
        <v>280</v>
      </c>
      <c r="C15" s="10" t="s">
        <v>281</v>
      </c>
      <c r="D15" s="10" t="s">
        <v>410</v>
      </c>
      <c r="E15" s="10" t="s">
        <v>51</v>
      </c>
      <c r="F15" s="10" t="s">
        <v>147</v>
      </c>
      <c r="G15" s="10" t="s">
        <v>60</v>
      </c>
      <c r="H15" s="10" t="n">
        <v>8</v>
      </c>
      <c r="I15" s="10" t="n">
        <v>200</v>
      </c>
      <c r="J15" s="10" t="n">
        <v>3</v>
      </c>
      <c r="K15" s="10" t="s">
        <v>411</v>
      </c>
      <c r="L15" s="10" t="s">
        <v>276</v>
      </c>
      <c r="M15" s="89" t="n">
        <v>0.833333333333333</v>
      </c>
      <c r="N15" s="10" t="s">
        <v>427</v>
      </c>
      <c r="O15" s="10" t="n">
        <v>78</v>
      </c>
      <c r="P15" s="98" t="s">
        <v>282</v>
      </c>
      <c r="Q15" s="10" t="n">
        <v>-18.2387484</v>
      </c>
      <c r="R15" s="10" t="n">
        <v>-65.3450876</v>
      </c>
      <c r="S15" s="91" t="n">
        <v>201611010297</v>
      </c>
      <c r="T15" s="91" t="n">
        <v>1072770256</v>
      </c>
      <c r="U15" s="91" t="n">
        <v>837977</v>
      </c>
      <c r="V15" s="91" t="n">
        <v>8412425</v>
      </c>
      <c r="W15" s="92" t="n">
        <v>45042</v>
      </c>
      <c r="X15" s="92" t="n">
        <v>45042</v>
      </c>
      <c r="Y15" s="92" t="n">
        <v>45138</v>
      </c>
      <c r="Z15" s="92"/>
      <c r="AA15" s="92"/>
      <c r="AB15" s="93" t="n">
        <v>3</v>
      </c>
      <c r="AC15" s="94" t="s">
        <v>147</v>
      </c>
      <c r="AD15" s="95" t="s">
        <v>508</v>
      </c>
      <c r="AE15" s="95" t="s">
        <v>509</v>
      </c>
      <c r="AF15" s="96" t="s">
        <v>485</v>
      </c>
      <c r="AG15" s="20" t="s">
        <v>486</v>
      </c>
      <c r="AH15" s="10"/>
    </row>
    <row r="16" customFormat="false" ht="62.25" hidden="false" customHeight="true" outlineLevel="0" collapsed="false">
      <c r="A16" s="10" t="n">
        <v>14</v>
      </c>
      <c r="B16" s="10" t="s">
        <v>305</v>
      </c>
      <c r="C16" s="10" t="s">
        <v>306</v>
      </c>
      <c r="D16" s="10" t="s">
        <v>410</v>
      </c>
      <c r="E16" s="10" t="s">
        <v>51</v>
      </c>
      <c r="F16" s="10" t="s">
        <v>412</v>
      </c>
      <c r="G16" s="10" t="s">
        <v>65</v>
      </c>
      <c r="H16" s="10" t="n">
        <v>4</v>
      </c>
      <c r="I16" s="10" t="n">
        <v>200</v>
      </c>
      <c r="J16" s="10" t="n">
        <v>3</v>
      </c>
      <c r="K16" s="10" t="s">
        <v>411</v>
      </c>
      <c r="L16" s="10" t="s">
        <v>276</v>
      </c>
      <c r="M16" s="89" t="n">
        <v>0.875</v>
      </c>
      <c r="N16" s="10" t="s">
        <v>427</v>
      </c>
      <c r="O16" s="10" t="n">
        <v>83</v>
      </c>
      <c r="P16" s="99" t="s">
        <v>307</v>
      </c>
      <c r="Q16" s="10" t="n">
        <v>-18.2285092</v>
      </c>
      <c r="R16" s="10" t="n">
        <v>-65.3465505</v>
      </c>
      <c r="S16" s="91" t="n">
        <v>201611010321</v>
      </c>
      <c r="T16" s="91" t="n">
        <v>1072770537</v>
      </c>
      <c r="U16" s="91" t="n">
        <v>837983</v>
      </c>
      <c r="V16" s="91" t="n">
        <v>8412405</v>
      </c>
      <c r="W16" s="92" t="n">
        <v>45042</v>
      </c>
      <c r="X16" s="92" t="n">
        <v>45042</v>
      </c>
      <c r="Y16" s="92" t="n">
        <v>45051</v>
      </c>
      <c r="Z16" s="92"/>
      <c r="AA16" s="92"/>
      <c r="AB16" s="93" t="n">
        <v>1</v>
      </c>
      <c r="AC16" s="94" t="s">
        <v>147</v>
      </c>
      <c r="AD16" s="95" t="s">
        <v>510</v>
      </c>
      <c r="AE16" s="95" t="s">
        <v>511</v>
      </c>
      <c r="AF16" s="96" t="s">
        <v>500</v>
      </c>
      <c r="AG16" s="20" t="s">
        <v>494</v>
      </c>
      <c r="AH16" s="10"/>
    </row>
    <row r="17" customFormat="false" ht="16.5" hidden="false" customHeight="true" outlineLevel="0" collapsed="false">
      <c r="A17" s="10" t="n">
        <v>15</v>
      </c>
      <c r="B17" s="10" t="s">
        <v>320</v>
      </c>
      <c r="C17" s="10" t="s">
        <v>321</v>
      </c>
      <c r="D17" s="10" t="s">
        <v>410</v>
      </c>
      <c r="E17" s="10" t="s">
        <v>51</v>
      </c>
      <c r="F17" s="10" t="s">
        <v>412</v>
      </c>
      <c r="G17" s="10" t="s">
        <v>125</v>
      </c>
      <c r="H17" s="10" t="n">
        <v>2</v>
      </c>
      <c r="I17" s="10" t="n">
        <v>100</v>
      </c>
      <c r="J17" s="10" t="n">
        <v>6</v>
      </c>
      <c r="K17" s="10" t="s">
        <v>411</v>
      </c>
      <c r="L17" s="10" t="s">
        <v>276</v>
      </c>
      <c r="M17" s="89" t="n">
        <v>0.833333333333333</v>
      </c>
      <c r="N17" s="10" t="s">
        <v>427</v>
      </c>
      <c r="O17" s="10" t="n">
        <v>84</v>
      </c>
      <c r="P17" s="103" t="s">
        <v>322</v>
      </c>
      <c r="Q17" s="10" t="n">
        <v>-18.2348091</v>
      </c>
      <c r="R17" s="10" t="n">
        <v>-65.3474492</v>
      </c>
      <c r="S17" s="91" t="n">
        <v>201611010150</v>
      </c>
      <c r="T17" s="91" t="n">
        <v>1072771172</v>
      </c>
      <c r="U17" s="91" t="n">
        <v>837956</v>
      </c>
      <c r="V17" s="91" t="n">
        <v>8412402</v>
      </c>
      <c r="W17" s="92" t="n">
        <v>45042</v>
      </c>
      <c r="X17" s="92" t="n">
        <v>45041</v>
      </c>
      <c r="Y17" s="92" t="n">
        <v>45076</v>
      </c>
      <c r="Z17" s="92"/>
      <c r="AA17" s="92"/>
      <c r="AB17" s="93" t="n">
        <v>1</v>
      </c>
      <c r="AC17" s="94" t="s">
        <v>147</v>
      </c>
      <c r="AD17" s="94" t="s">
        <v>512</v>
      </c>
      <c r="AE17" s="94" t="s">
        <v>496</v>
      </c>
      <c r="AF17" s="101" t="s">
        <v>497</v>
      </c>
      <c r="AG17" s="20" t="s">
        <v>486</v>
      </c>
      <c r="AH17" s="10"/>
    </row>
    <row r="18" customFormat="false" ht="48" hidden="false" customHeight="true" outlineLevel="0" collapsed="false">
      <c r="A18" s="54" t="n">
        <v>16</v>
      </c>
      <c r="B18" s="54" t="s">
        <v>57</v>
      </c>
      <c r="C18" s="54" t="s">
        <v>58</v>
      </c>
      <c r="D18" s="54" t="s">
        <v>410</v>
      </c>
      <c r="E18" s="54" t="s">
        <v>59</v>
      </c>
      <c r="F18" s="54" t="s">
        <v>147</v>
      </c>
      <c r="G18" s="54" t="s">
        <v>60</v>
      </c>
      <c r="H18" s="54" t="n">
        <v>9</v>
      </c>
      <c r="I18" s="54" t="n">
        <v>300</v>
      </c>
      <c r="J18" s="54" t="n">
        <v>4</v>
      </c>
      <c r="K18" s="54" t="s">
        <v>423</v>
      </c>
      <c r="L18" s="54" t="s">
        <v>429</v>
      </c>
      <c r="M18" s="104" t="n">
        <v>0.916666666666667</v>
      </c>
      <c r="N18" s="54" t="s">
        <v>431</v>
      </c>
      <c r="O18" s="54" t="n">
        <v>46</v>
      </c>
      <c r="P18" s="105" t="s">
        <v>62</v>
      </c>
      <c r="Q18" s="54" t="n">
        <v>-18.1367774</v>
      </c>
      <c r="R18" s="54" t="n">
        <v>-65.4638351</v>
      </c>
      <c r="S18" s="106" t="n">
        <v>201611011933</v>
      </c>
      <c r="T18" s="106" t="n">
        <v>1072771701</v>
      </c>
      <c r="U18" s="106" t="n">
        <v>8372393</v>
      </c>
      <c r="V18" s="106" t="n">
        <v>8414298</v>
      </c>
      <c r="W18" s="107" t="n">
        <v>45127</v>
      </c>
      <c r="X18" s="107"/>
      <c r="Y18" s="107"/>
      <c r="Z18" s="107"/>
      <c r="AA18" s="107"/>
      <c r="AB18" s="108" t="n">
        <v>0</v>
      </c>
      <c r="AC18" s="109" t="s">
        <v>147</v>
      </c>
      <c r="AD18" s="110" t="s">
        <v>513</v>
      </c>
      <c r="AE18" s="110" t="s">
        <v>514</v>
      </c>
      <c r="AF18" s="111" t="s">
        <v>497</v>
      </c>
      <c r="AG18" s="20" t="s">
        <v>494</v>
      </c>
      <c r="AH18" s="10"/>
    </row>
    <row r="19" customFormat="false" ht="30.75" hidden="false" customHeight="false" outlineLevel="0" collapsed="false">
      <c r="A19" s="10" t="n">
        <v>17</v>
      </c>
      <c r="B19" s="10" t="s">
        <v>228</v>
      </c>
      <c r="C19" s="10" t="s">
        <v>515</v>
      </c>
      <c r="D19" s="10"/>
      <c r="E19" s="10" t="s">
        <v>42</v>
      </c>
      <c r="F19" s="10"/>
      <c r="G19" s="10"/>
      <c r="H19" s="10"/>
      <c r="I19" s="10"/>
      <c r="J19" s="10"/>
      <c r="K19" s="10"/>
      <c r="L19" s="10"/>
      <c r="M19" s="89"/>
      <c r="N19" s="10"/>
      <c r="O19" s="10"/>
      <c r="P19" s="112" t="s">
        <v>230</v>
      </c>
      <c r="Q19" s="10"/>
      <c r="R19" s="10"/>
      <c r="S19" s="10"/>
      <c r="T19" s="10"/>
      <c r="U19" s="10"/>
      <c r="V19" s="10"/>
      <c r="W19" s="10"/>
      <c r="X19" s="10"/>
      <c r="Y19" s="10"/>
      <c r="Z19" s="10"/>
      <c r="AA19" s="10"/>
      <c r="AB19" s="10"/>
      <c r="AC19" s="10"/>
      <c r="AD19" s="8" t="s">
        <v>516</v>
      </c>
      <c r="AE19" s="10"/>
      <c r="AF19" s="20" t="s">
        <v>517</v>
      </c>
      <c r="AG19" s="20" t="s">
        <v>486</v>
      </c>
      <c r="AH19" s="10"/>
    </row>
    <row r="20" customFormat="false" ht="18.75" hidden="false" customHeight="false" outlineLevel="0" collapsed="false">
      <c r="A20" s="10" t="n">
        <v>18</v>
      </c>
      <c r="B20" s="10" t="s">
        <v>518</v>
      </c>
      <c r="C20" s="10" t="s">
        <v>519</v>
      </c>
      <c r="D20" s="10"/>
      <c r="E20" s="10" t="s">
        <v>42</v>
      </c>
      <c r="F20" s="10"/>
      <c r="G20" s="10"/>
      <c r="H20" s="10"/>
      <c r="I20" s="10"/>
      <c r="J20" s="10"/>
      <c r="K20" s="10"/>
      <c r="L20" s="10"/>
      <c r="M20" s="89"/>
      <c r="N20" s="10"/>
      <c r="O20" s="10"/>
      <c r="P20" s="113" t="s">
        <v>520</v>
      </c>
      <c r="Q20" s="10"/>
      <c r="R20" s="10"/>
      <c r="S20" s="10"/>
      <c r="T20" s="10"/>
      <c r="U20" s="10"/>
      <c r="V20" s="10"/>
      <c r="W20" s="107" t="n">
        <v>45127</v>
      </c>
      <c r="X20" s="114" t="n">
        <v>45108</v>
      </c>
      <c r="Y20" s="114" t="n">
        <v>45413</v>
      </c>
      <c r="Z20" s="10"/>
      <c r="AA20" s="10"/>
      <c r="AB20" s="10" t="n">
        <v>11</v>
      </c>
      <c r="AC20" s="10"/>
      <c r="AD20" s="10" t="s">
        <v>521</v>
      </c>
      <c r="AE20" s="10"/>
      <c r="AF20" s="20" t="s">
        <v>517</v>
      </c>
      <c r="AG20" s="20" t="s">
        <v>486</v>
      </c>
      <c r="AH20" s="10"/>
    </row>
  </sheetData>
  <mergeCells count="26">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W1:W2"/>
    <mergeCell ref="X1:Y1"/>
    <mergeCell ref="Z1:AA1"/>
    <mergeCell ref="AB1:AB2"/>
    <mergeCell ref="AC1:AC2"/>
    <mergeCell ref="AE1:AE2"/>
    <mergeCell ref="AF1:AF2"/>
    <mergeCell ref="AH1:A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5" activeCellId="0" sqref="G15"/>
    </sheetView>
  </sheetViews>
  <sheetFormatPr defaultColWidth="8.5390625" defaultRowHeight="15" zeroHeight="false" outlineLevelRow="0" outlineLevelCol="0"/>
  <cols>
    <col collapsed="false" customWidth="true" hidden="false" outlineLevel="0" max="1" min="1" style="0" width="23.57"/>
    <col collapsed="false" customWidth="true" hidden="false" outlineLevel="0" max="2" min="2" style="0" width="11.85"/>
    <col collapsed="false" customWidth="true" hidden="false" outlineLevel="0" max="3" min="3" style="0" width="16.28"/>
    <col collapsed="false" customWidth="true" hidden="false" outlineLevel="0" max="4" min="4" style="0" width="51.28"/>
  </cols>
  <sheetData>
    <row r="1" customFormat="false" ht="13.8" hidden="false" customHeight="false" outlineLevel="0" collapsed="false">
      <c r="A1" s="115" t="s">
        <v>522</v>
      </c>
      <c r="B1" s="116" t="s">
        <v>523</v>
      </c>
      <c r="C1" s="54" t="s">
        <v>524</v>
      </c>
      <c r="D1" s="117" t="s">
        <v>481</v>
      </c>
      <c r="E1" s="0" t="s">
        <v>525</v>
      </c>
    </row>
    <row r="2" customFormat="false" ht="13.8" hidden="false" customHeight="false" outlineLevel="0" collapsed="false">
      <c r="A2" s="19" t="s">
        <v>526</v>
      </c>
      <c r="B2" s="10" t="s">
        <v>527</v>
      </c>
      <c r="C2" s="10" t="s">
        <v>503</v>
      </c>
      <c r="D2" s="20"/>
      <c r="E2" s="0" t="s">
        <v>528</v>
      </c>
    </row>
    <row r="3" customFormat="false" ht="13.8" hidden="false" customHeight="false" outlineLevel="0" collapsed="false">
      <c r="A3" s="19" t="s">
        <v>529</v>
      </c>
      <c r="B3" s="10" t="s">
        <v>530</v>
      </c>
      <c r="C3" s="10" t="s">
        <v>503</v>
      </c>
      <c r="D3" s="20"/>
      <c r="E3" s="0" t="s">
        <v>528</v>
      </c>
    </row>
    <row r="4" customFormat="false" ht="13.8" hidden="false" customHeight="false" outlineLevel="0" collapsed="false">
      <c r="A4" s="19" t="s">
        <v>531</v>
      </c>
      <c r="B4" s="10" t="s">
        <v>532</v>
      </c>
      <c r="C4" s="10" t="s">
        <v>503</v>
      </c>
      <c r="D4" s="20"/>
      <c r="E4" s="0" t="s">
        <v>528</v>
      </c>
    </row>
    <row r="5" customFormat="false" ht="13.8" hidden="false" customHeight="false" outlineLevel="0" collapsed="false">
      <c r="A5" s="19" t="s">
        <v>533</v>
      </c>
      <c r="B5" s="10" t="s">
        <v>534</v>
      </c>
      <c r="C5" s="10" t="s">
        <v>503</v>
      </c>
      <c r="D5" s="20"/>
      <c r="E5" s="0" t="s">
        <v>528</v>
      </c>
    </row>
    <row r="6" customFormat="false" ht="13.8" hidden="false" customHeight="false" outlineLevel="0" collapsed="false">
      <c r="A6" s="19" t="s">
        <v>535</v>
      </c>
      <c r="B6" s="10" t="s">
        <v>536</v>
      </c>
      <c r="C6" s="10" t="s">
        <v>503</v>
      </c>
      <c r="D6" s="20" t="s">
        <v>537</v>
      </c>
      <c r="E6" s="0" t="s">
        <v>528</v>
      </c>
    </row>
    <row r="7" customFormat="false" ht="13.8" hidden="false" customHeight="false" outlineLevel="0" collapsed="false">
      <c r="A7" s="19" t="s">
        <v>538</v>
      </c>
      <c r="B7" s="10" t="s">
        <v>539</v>
      </c>
      <c r="C7" s="10" t="s">
        <v>503</v>
      </c>
      <c r="D7" s="20"/>
      <c r="E7" s="0" t="s">
        <v>528</v>
      </c>
    </row>
    <row r="8" customFormat="false" ht="13.8" hidden="false" customHeight="false" outlineLevel="0" collapsed="false">
      <c r="A8" s="19" t="s">
        <v>540</v>
      </c>
      <c r="B8" s="10" t="s">
        <v>541</v>
      </c>
      <c r="C8" s="10" t="s">
        <v>542</v>
      </c>
      <c r="D8" s="20" t="s">
        <v>543</v>
      </c>
      <c r="E8" s="0" t="s">
        <v>528</v>
      </c>
    </row>
    <row r="9" customFormat="false" ht="13.8" hidden="false" customHeight="false" outlineLevel="0" collapsed="false">
      <c r="A9" s="19" t="s">
        <v>544</v>
      </c>
      <c r="B9" s="10" t="s">
        <v>545</v>
      </c>
      <c r="C9" s="10" t="s">
        <v>503</v>
      </c>
      <c r="D9" s="20"/>
      <c r="E9" s="0" t="s">
        <v>528</v>
      </c>
    </row>
    <row r="10" customFormat="false" ht="13.8" hidden="false" customHeight="false" outlineLevel="0" collapsed="false">
      <c r="A10" s="19" t="s">
        <v>546</v>
      </c>
      <c r="B10" s="10" t="s">
        <v>547</v>
      </c>
      <c r="C10" s="10" t="s">
        <v>503</v>
      </c>
      <c r="D10" s="20"/>
    </row>
    <row r="11" customFormat="false" ht="15" hidden="false" customHeight="false" outlineLevel="0" collapsed="false">
      <c r="A11" s="19" t="s">
        <v>548</v>
      </c>
      <c r="B11" s="10" t="s">
        <v>549</v>
      </c>
      <c r="C11" s="10" t="s">
        <v>486</v>
      </c>
      <c r="D11" s="20" t="s">
        <v>550</v>
      </c>
    </row>
    <row r="13" customFormat="false" ht="15" hidden="false" customHeight="false" outlineLevel="0" collapsed="false">
      <c r="A13" s="0" t="s">
        <v>551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5"/>
  <sheetViews>
    <sheetView showFormulas="false" showGridLines="true" showRowColHeaders="true" showZeros="true" rightToLeft="false" tabSelected="true" showOutlineSymbols="true" defaultGridColor="true" view="normal" topLeftCell="A1" colorId="64" zoomScale="131" zoomScaleNormal="131" zoomScalePageLayoutView="100" workbookViewId="0">
      <selection pane="topLeft" activeCell="G13" activeCellId="0" sqref="G13"/>
    </sheetView>
  </sheetViews>
  <sheetFormatPr defaultColWidth="9.14453125" defaultRowHeight="13.8" zeroHeight="false" outlineLevelRow="0" outlineLevelCol="0"/>
  <cols>
    <col collapsed="false" customWidth="false" hidden="false" outlineLevel="0" max="1" min="1" style="1" width="9.14"/>
    <col collapsed="false" customWidth="true" hidden="false" outlineLevel="0" max="2" min="2" style="1" width="31.47"/>
    <col collapsed="false" customWidth="false" hidden="false" outlineLevel="0" max="3" min="3" style="1" width="9.14"/>
    <col collapsed="false" customWidth="true" hidden="false" outlineLevel="0" max="4" min="4" style="1" width="11.28"/>
    <col collapsed="false" customWidth="true" hidden="false" outlineLevel="0" max="5" min="5" style="1" width="14.89"/>
    <col collapsed="false" customWidth="true" hidden="false" outlineLevel="0" max="6" min="6" style="1" width="19.44"/>
    <col collapsed="false" customWidth="true" hidden="false" outlineLevel="0" max="7" min="7" style="1" width="22.38"/>
  </cols>
  <sheetData>
    <row r="1" customFormat="false" ht="27.9" hidden="false" customHeight="false" outlineLevel="0" collapsed="false">
      <c r="A1" s="118" t="s">
        <v>469</v>
      </c>
      <c r="B1" s="119" t="s">
        <v>552</v>
      </c>
      <c r="C1" s="119" t="s">
        <v>553</v>
      </c>
      <c r="D1" s="119" t="s">
        <v>375</v>
      </c>
      <c r="E1" s="119" t="s">
        <v>554</v>
      </c>
      <c r="F1" s="119" t="s">
        <v>555</v>
      </c>
      <c r="G1" s="120" t="s">
        <v>481</v>
      </c>
    </row>
    <row r="2" customFormat="false" ht="27.9" hidden="false" customHeight="false" outlineLevel="0" collapsed="false">
      <c r="A2" s="121" t="n">
        <v>1</v>
      </c>
      <c r="B2" s="8" t="s">
        <v>556</v>
      </c>
      <c r="C2" s="122" t="n">
        <v>100</v>
      </c>
      <c r="D2" s="123" t="n">
        <v>44951</v>
      </c>
      <c r="E2" s="124" t="s">
        <v>557</v>
      </c>
      <c r="F2" s="124" t="s">
        <v>558</v>
      </c>
      <c r="G2" s="125"/>
    </row>
    <row r="3" customFormat="false" ht="13.8" hidden="false" customHeight="false" outlineLevel="0" collapsed="false">
      <c r="A3" s="126" t="n">
        <v>2</v>
      </c>
      <c r="B3" s="41" t="s">
        <v>559</v>
      </c>
      <c r="C3" s="41" t="n">
        <v>1</v>
      </c>
      <c r="D3" s="127" t="n">
        <v>45138</v>
      </c>
      <c r="E3" s="41" t="s">
        <v>276</v>
      </c>
      <c r="F3" s="128" t="s">
        <v>560</v>
      </c>
      <c r="G3" s="43" t="s">
        <v>561</v>
      </c>
    </row>
    <row r="4" customFormat="false" ht="13.8" hidden="false" customHeight="false" outlineLevel="0" collapsed="false">
      <c r="A4" s="126" t="n">
        <v>3</v>
      </c>
      <c r="B4" s="41" t="s">
        <v>559</v>
      </c>
      <c r="C4" s="41" t="n">
        <v>1</v>
      </c>
      <c r="D4" s="127" t="n">
        <v>45138</v>
      </c>
      <c r="E4" s="41" t="s">
        <v>276</v>
      </c>
      <c r="F4" s="128" t="s">
        <v>560</v>
      </c>
      <c r="G4" s="43" t="s">
        <v>561</v>
      </c>
    </row>
    <row r="5" customFormat="false" ht="13.8" hidden="false" customHeight="false" outlineLevel="0" collapsed="false">
      <c r="A5" s="126" t="n">
        <v>4</v>
      </c>
      <c r="B5" s="41" t="s">
        <v>559</v>
      </c>
      <c r="C5" s="41" t="n">
        <v>1</v>
      </c>
      <c r="D5" s="127" t="n">
        <v>45138</v>
      </c>
      <c r="E5" s="41" t="s">
        <v>276</v>
      </c>
      <c r="F5" s="128" t="s">
        <v>560</v>
      </c>
      <c r="G5" s="43" t="s">
        <v>562</v>
      </c>
    </row>
    <row r="6" customFormat="false" ht="13.8" hidden="false" customHeight="false" outlineLevel="0" collapsed="false">
      <c r="A6" s="126" t="n">
        <v>5</v>
      </c>
      <c r="B6" s="41" t="s">
        <v>559</v>
      </c>
      <c r="C6" s="41" t="n">
        <v>1</v>
      </c>
      <c r="D6" s="127" t="n">
        <v>45138</v>
      </c>
      <c r="E6" s="41" t="s">
        <v>276</v>
      </c>
      <c r="F6" s="128" t="s">
        <v>560</v>
      </c>
      <c r="G6" s="43" t="s">
        <v>562</v>
      </c>
    </row>
    <row r="7" customFormat="false" ht="13.8" hidden="false" customHeight="false" outlineLevel="0" collapsed="false">
      <c r="A7" s="126" t="n">
        <v>6</v>
      </c>
      <c r="B7" s="41" t="s">
        <v>559</v>
      </c>
      <c r="C7" s="41" t="n">
        <v>1</v>
      </c>
      <c r="D7" s="127" t="n">
        <v>45138</v>
      </c>
      <c r="E7" s="41" t="s">
        <v>276</v>
      </c>
      <c r="F7" s="128" t="s">
        <v>560</v>
      </c>
      <c r="G7" s="43" t="s">
        <v>562</v>
      </c>
      <c r="I7" s="0" t="s">
        <v>563</v>
      </c>
      <c r="J7" s="0" t="s">
        <v>564</v>
      </c>
    </row>
    <row r="8" customFormat="false" ht="54.65" hidden="false" customHeight="false" outlineLevel="0" collapsed="false">
      <c r="A8" s="126" t="n">
        <v>7</v>
      </c>
      <c r="B8" s="41" t="s">
        <v>565</v>
      </c>
      <c r="C8" s="41" t="n">
        <v>16</v>
      </c>
      <c r="D8" s="127" t="n">
        <v>45252</v>
      </c>
      <c r="E8" s="128" t="s">
        <v>566</v>
      </c>
      <c r="F8" s="128" t="s">
        <v>567</v>
      </c>
      <c r="G8" s="129"/>
    </row>
    <row r="9" customFormat="false" ht="27.9" hidden="false" customHeight="false" outlineLevel="0" collapsed="false">
      <c r="A9" s="126" t="n">
        <v>8</v>
      </c>
      <c r="B9" s="41" t="s">
        <v>568</v>
      </c>
      <c r="C9" s="41" t="n">
        <v>16</v>
      </c>
      <c r="D9" s="127" t="n">
        <v>45252</v>
      </c>
      <c r="E9" s="128" t="s">
        <v>569</v>
      </c>
      <c r="F9" s="128" t="s">
        <v>567</v>
      </c>
      <c r="G9" s="43"/>
    </row>
    <row r="10" customFormat="false" ht="27.9" hidden="false" customHeight="false" outlineLevel="0" collapsed="false">
      <c r="A10" s="126" t="n">
        <v>9</v>
      </c>
      <c r="B10" s="41" t="s">
        <v>559</v>
      </c>
      <c r="C10" s="41" t="n">
        <v>1</v>
      </c>
      <c r="D10" s="127" t="n">
        <v>45252</v>
      </c>
      <c r="E10" s="41" t="s">
        <v>276</v>
      </c>
      <c r="F10" s="128" t="s">
        <v>560</v>
      </c>
      <c r="G10" s="130" t="s">
        <v>570</v>
      </c>
    </row>
    <row r="11" customFormat="false" ht="13.8" hidden="false" customHeight="false" outlineLevel="0" collapsed="false">
      <c r="A11" s="126" t="n">
        <v>10</v>
      </c>
      <c r="B11" s="41" t="s">
        <v>559</v>
      </c>
      <c r="C11" s="41" t="n">
        <v>1</v>
      </c>
      <c r="D11" s="127" t="n">
        <v>45322</v>
      </c>
      <c r="E11" s="41" t="s">
        <v>276</v>
      </c>
      <c r="F11" s="128" t="s">
        <v>560</v>
      </c>
      <c r="G11" s="43" t="s">
        <v>571</v>
      </c>
    </row>
    <row r="12" customFormat="false" ht="13.8" hidden="false" customHeight="false" outlineLevel="0" collapsed="false">
      <c r="A12" s="126" t="n">
        <v>11</v>
      </c>
      <c r="B12" s="41" t="s">
        <v>559</v>
      </c>
      <c r="C12" s="41" t="n">
        <v>1</v>
      </c>
      <c r="D12" s="127" t="n">
        <v>45322</v>
      </c>
      <c r="E12" s="41" t="s">
        <v>276</v>
      </c>
      <c r="F12" s="128" t="s">
        <v>560</v>
      </c>
      <c r="G12" s="43" t="s">
        <v>571</v>
      </c>
    </row>
    <row r="13" customFormat="false" ht="54.65" hidden="false" customHeight="false" outlineLevel="0" collapsed="false">
      <c r="A13" s="126" t="n">
        <v>12</v>
      </c>
      <c r="B13" s="41" t="s">
        <v>565</v>
      </c>
      <c r="C13" s="41" t="n">
        <v>41</v>
      </c>
      <c r="D13" s="127" t="n">
        <v>45434</v>
      </c>
      <c r="E13" s="128" t="s">
        <v>572</v>
      </c>
      <c r="F13" s="128" t="s">
        <v>573</v>
      </c>
      <c r="G13" s="43"/>
    </row>
    <row r="14" customFormat="false" ht="13.8" hidden="false" customHeight="false" outlineLevel="0" collapsed="false">
      <c r="A14" s="126" t="n">
        <v>13</v>
      </c>
      <c r="B14" s="131" t="s">
        <v>574</v>
      </c>
      <c r="C14" s="131" t="n">
        <v>5</v>
      </c>
      <c r="D14" s="132" t="n">
        <v>45434</v>
      </c>
      <c r="E14" s="133" t="s">
        <v>575</v>
      </c>
      <c r="F14" s="133" t="s">
        <v>576</v>
      </c>
      <c r="G14" s="129"/>
    </row>
    <row r="15" customFormat="false" ht="13.8" hidden="false" customHeight="false" outlineLevel="0" collapsed="false">
      <c r="A15" s="126" t="n">
        <v>14</v>
      </c>
      <c r="B15" s="131" t="s">
        <v>559</v>
      </c>
      <c r="C15" s="131" t="n">
        <v>1</v>
      </c>
      <c r="D15" s="132" t="n">
        <v>45434</v>
      </c>
      <c r="E15" s="131" t="s">
        <v>276</v>
      </c>
      <c r="F15" s="133" t="s">
        <v>577</v>
      </c>
      <c r="G15" s="129" t="s">
        <v>578</v>
      </c>
    </row>
  </sheetData>
  <hyperlinks>
    <hyperlink ref="E2" r:id="rId1" display="cuestionario_entrega"/>
    <hyperlink ref="F2" r:id="rId2" display="Datos socioeconómicos y demográficos"/>
    <hyperlink ref="E8" r:id="rId3" display="Encuesta a hogares Nov 2023"/>
    <hyperlink ref="F8" r:id="rId4" display="Datos encuesta Nov 2023"/>
    <hyperlink ref="E9" r:id="rId5" display="Ficha de inspección paneles"/>
    <hyperlink ref="F9" r:id="rId6" display="Datos encuesta Nov 2023"/>
    <hyperlink ref="F10" r:id="rId7" display="data_dataloggers"/>
    <hyperlink ref="F11" r:id="rId8" display="data_dataloggers"/>
    <hyperlink ref="F12" r:id="rId9" display="data_dataloggers"/>
    <hyperlink ref="E13" r:id="rId10" display="Encuesta a hogares May 2024"/>
    <hyperlink ref="F13" r:id="rId11" display="Datos encuesta May 2024"/>
    <hyperlink ref="E14" r:id="rId12" display="guia_entrevista_mayo2024"/>
    <hyperlink ref="F14" r:id="rId13" display="entrevistas_mayo2024"/>
    <hyperlink ref="F15" r:id="rId14" display="data_dl"/>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7" colorId="64" zoomScale="131" zoomScaleNormal="131" zoomScalePageLayoutView="100" workbookViewId="0">
      <selection pane="topLeft" activeCell="K10" activeCellId="0" sqref="K10"/>
    </sheetView>
  </sheetViews>
  <sheetFormatPr defaultColWidth="9.14453125" defaultRowHeight="12.8" zeroHeight="false" outlineLevelRow="0" outlineLevelCol="0"/>
  <cols>
    <col collapsed="false" customWidth="true" hidden="false" outlineLevel="0" max="1" min="1" style="0" width="58.49"/>
    <col collapsed="false" customWidth="true" hidden="false" outlineLevel="0" max="3" min="3" style="0" width="15.57"/>
    <col collapsed="false" customWidth="true" hidden="false" outlineLevel="0" max="4" min="4" style="0" width="52.68"/>
  </cols>
  <sheetData>
    <row r="1" customFormat="false" ht="13.8" hidden="false" customHeight="false" outlineLevel="0" collapsed="false">
      <c r="A1" s="118" t="s">
        <v>579</v>
      </c>
      <c r="B1" s="119" t="s">
        <v>375</v>
      </c>
      <c r="C1" s="119" t="s">
        <v>580</v>
      </c>
      <c r="D1" s="120" t="s">
        <v>581</v>
      </c>
    </row>
    <row r="2" customFormat="false" ht="27.9" hidden="false" customHeight="false" outlineLevel="0" collapsed="false">
      <c r="A2" s="121" t="s">
        <v>582</v>
      </c>
      <c r="B2" s="123" t="n">
        <v>44658</v>
      </c>
      <c r="C2" s="122" t="s">
        <v>583</v>
      </c>
      <c r="D2" s="22" t="s">
        <v>584</v>
      </c>
    </row>
    <row r="3" customFormat="false" ht="41.55" hidden="false" customHeight="false" outlineLevel="0" collapsed="false">
      <c r="A3" s="121" t="s">
        <v>585</v>
      </c>
      <c r="B3" s="123" t="n">
        <v>44893</v>
      </c>
      <c r="C3" s="122" t="s">
        <v>583</v>
      </c>
      <c r="D3" s="22" t="s">
        <v>586</v>
      </c>
    </row>
    <row r="4" customFormat="false" ht="27.9" hidden="false" customHeight="false" outlineLevel="0" collapsed="false">
      <c r="A4" s="121" t="s">
        <v>587</v>
      </c>
      <c r="B4" s="123" t="n">
        <v>44951</v>
      </c>
      <c r="C4" s="122" t="s">
        <v>588</v>
      </c>
      <c r="D4" s="22" t="s">
        <v>589</v>
      </c>
    </row>
    <row r="5" customFormat="false" ht="41.55" hidden="false" customHeight="false" outlineLevel="0" collapsed="false">
      <c r="A5" s="121" t="s">
        <v>590</v>
      </c>
      <c r="B5" s="123" t="n">
        <v>44951</v>
      </c>
      <c r="C5" s="122" t="s">
        <v>583</v>
      </c>
      <c r="D5" s="22" t="s">
        <v>591</v>
      </c>
    </row>
    <row r="6" customFormat="false" ht="27.9" hidden="false" customHeight="false" outlineLevel="0" collapsed="false">
      <c r="A6" s="121" t="s">
        <v>592</v>
      </c>
      <c r="B6" s="123" t="n">
        <v>44951</v>
      </c>
      <c r="C6" s="122" t="s">
        <v>486</v>
      </c>
      <c r="D6" s="22" t="s">
        <v>593</v>
      </c>
    </row>
    <row r="7" customFormat="false" ht="13.8" hidden="false" customHeight="false" outlineLevel="0" collapsed="false">
      <c r="A7" s="121" t="s">
        <v>594</v>
      </c>
      <c r="B7" s="123" t="n">
        <v>45042</v>
      </c>
      <c r="C7" s="122" t="s">
        <v>595</v>
      </c>
      <c r="D7" s="125" t="s">
        <v>596</v>
      </c>
    </row>
    <row r="8" customFormat="false" ht="13.8" hidden="false" customHeight="false" outlineLevel="0" collapsed="false">
      <c r="A8" s="121" t="s">
        <v>597</v>
      </c>
      <c r="B8" s="123" t="n">
        <v>45124</v>
      </c>
      <c r="C8" s="122" t="s">
        <v>595</v>
      </c>
      <c r="D8" s="125" t="s">
        <v>598</v>
      </c>
    </row>
    <row r="9" customFormat="false" ht="27.9" hidden="false" customHeight="false" outlineLevel="0" collapsed="false">
      <c r="A9" s="121" t="s">
        <v>599</v>
      </c>
      <c r="B9" s="123" t="n">
        <v>45203</v>
      </c>
      <c r="C9" s="122" t="s">
        <v>600</v>
      </c>
      <c r="D9" s="125" t="s">
        <v>601</v>
      </c>
    </row>
    <row r="10" customFormat="false" ht="41.55" hidden="false" customHeight="false" outlineLevel="0" collapsed="false">
      <c r="A10" s="121" t="s">
        <v>602</v>
      </c>
      <c r="B10" s="123" t="n">
        <v>45251</v>
      </c>
      <c r="C10" s="122" t="s">
        <v>486</v>
      </c>
      <c r="D10" s="22" t="s">
        <v>603</v>
      </c>
    </row>
    <row r="11" customFormat="false" ht="27.9" hidden="false" customHeight="false" outlineLevel="0" collapsed="false">
      <c r="A11" s="134" t="s">
        <v>604</v>
      </c>
      <c r="B11" s="123" t="n">
        <v>45320</v>
      </c>
      <c r="C11" s="122" t="s">
        <v>595</v>
      </c>
      <c r="D11" s="125" t="s">
        <v>605</v>
      </c>
    </row>
    <row r="12" customFormat="false" ht="27.9" hidden="false" customHeight="false" outlineLevel="0" collapsed="false">
      <c r="A12" s="135" t="s">
        <v>606</v>
      </c>
      <c r="B12" s="136" t="n">
        <v>45433</v>
      </c>
      <c r="C12" s="137" t="s">
        <v>486</v>
      </c>
      <c r="D12" s="138" t="s">
        <v>607</v>
      </c>
    </row>
    <row r="13" customFormat="false" ht="54.65" hidden="false" customHeight="false" outlineLevel="0" collapsed="false">
      <c r="A13" s="139" t="s">
        <v>608</v>
      </c>
      <c r="B13" s="140" t="n">
        <v>45615</v>
      </c>
      <c r="C13" s="141" t="s">
        <v>486</v>
      </c>
      <c r="D13" s="142" t="s">
        <v>609</v>
      </c>
    </row>
    <row r="14" customFormat="false" ht="13.8" hidden="false" customHeight="false" outlineLevel="0" collapsed="false">
      <c r="A14" s="139" t="s">
        <v>610</v>
      </c>
      <c r="B14" s="140" t="n">
        <v>45670</v>
      </c>
      <c r="C14" s="141" t="s">
        <v>486</v>
      </c>
      <c r="D14" s="142" t="s">
        <v>611</v>
      </c>
    </row>
    <row r="15" customFormat="false" ht="13.8" hidden="false" customHeight="false" outlineLevel="0" collapsed="false">
      <c r="A15" s="139" t="s">
        <v>610</v>
      </c>
      <c r="B15" s="143" t="n">
        <v>45932</v>
      </c>
      <c r="C15" s="144" t="s">
        <v>486</v>
      </c>
      <c r="D15" s="145" t="s">
        <v>612</v>
      </c>
    </row>
    <row r="16" customFormat="false" ht="27.9" hidden="false" customHeight="false" outlineLevel="0" collapsed="false">
      <c r="A16" s="146" t="s">
        <v>613</v>
      </c>
      <c r="B16" s="147" t="s">
        <v>246</v>
      </c>
      <c r="C16" s="148" t="s">
        <v>600</v>
      </c>
      <c r="D16" s="149"/>
    </row>
    <row r="17" customFormat="false" ht="13.8" hidden="false" customHeight="false" outlineLevel="0" collapsed="false">
      <c r="A17" s="150" t="s">
        <v>614</v>
      </c>
      <c r="B17" s="151" t="n">
        <v>45817</v>
      </c>
      <c r="C17" s="152" t="s">
        <v>600</v>
      </c>
      <c r="D17" s="153" t="s">
        <v>615</v>
      </c>
    </row>
    <row r="18" customFormat="false" ht="13.8" hidden="false" customHeight="false" outlineLevel="0" collapsed="false">
      <c r="A18" s="150" t="s">
        <v>616</v>
      </c>
      <c r="B18" s="147" t="n">
        <v>45936</v>
      </c>
      <c r="C18" s="148" t="s">
        <v>486</v>
      </c>
      <c r="D18" s="149"/>
    </row>
    <row r="19" customFormat="false" ht="27.9" hidden="false" customHeight="false" outlineLevel="0" collapsed="false">
      <c r="A19" s="150" t="s">
        <v>617</v>
      </c>
      <c r="B19" s="151" t="n">
        <v>46035</v>
      </c>
      <c r="C19" s="152" t="s">
        <v>486</v>
      </c>
      <c r="D19" s="153" t="s">
        <v>618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42"/>
  <sheetViews>
    <sheetView showFormulas="false" showGridLines="true" showRowColHeaders="true" showZeros="true" rightToLeft="false" tabSelected="false" showOutlineSymbols="true" defaultGridColor="true" view="normal" topLeftCell="A25" colorId="64" zoomScale="131" zoomScaleNormal="131" zoomScalePageLayoutView="100" workbookViewId="0">
      <selection pane="topLeft" activeCell="A44" activeCellId="0" sqref="A44"/>
    </sheetView>
  </sheetViews>
  <sheetFormatPr defaultColWidth="9.14453125" defaultRowHeight="13.8" zeroHeight="false" outlineLevelRow="0" outlineLevelCol="0"/>
  <cols>
    <col collapsed="false" customWidth="true" hidden="false" outlineLevel="0" max="1" min="1" style="0" width="43.43"/>
    <col collapsed="false" customWidth="true" hidden="false" outlineLevel="0" max="2" min="2" style="0" width="13.57"/>
    <col collapsed="false" customWidth="true" hidden="false" outlineLevel="0" max="3" min="3" style="0" width="13.71"/>
    <col collapsed="false" customWidth="true" hidden="false" outlineLevel="0" max="6" min="4" style="0" width="8.53"/>
  </cols>
  <sheetData>
    <row r="2" customFormat="false" ht="13.8" hidden="false" customHeight="false" outlineLevel="0" collapsed="false">
      <c r="B2" s="154" t="n">
        <v>2023</v>
      </c>
      <c r="C2" s="154"/>
      <c r="D2" s="154" t="n">
        <v>2024</v>
      </c>
      <c r="E2" s="154"/>
    </row>
    <row r="3" customFormat="false" ht="13.8" hidden="false" customHeight="false" outlineLevel="0" collapsed="false">
      <c r="B3" s="10" t="s">
        <v>619</v>
      </c>
      <c r="C3" s="10" t="s">
        <v>620</v>
      </c>
      <c r="D3" s="10" t="s">
        <v>619</v>
      </c>
      <c r="E3" s="10" t="s">
        <v>620</v>
      </c>
    </row>
    <row r="4" customFormat="false" ht="13.8" hidden="false" customHeight="false" outlineLevel="0" collapsed="false">
      <c r="A4" s="10" t="s">
        <v>621</v>
      </c>
      <c r="B4" s="19" t="n">
        <v>50000</v>
      </c>
      <c r="C4" s="10"/>
      <c r="D4" s="10"/>
      <c r="E4" s="10"/>
    </row>
    <row r="5" customFormat="false" ht="13.8" hidden="false" customHeight="false" outlineLevel="0" collapsed="false">
      <c r="A5" s="10" t="s">
        <v>622</v>
      </c>
      <c r="B5" s="19" t="n">
        <v>396062.3496</v>
      </c>
      <c r="C5" s="10"/>
      <c r="D5" s="10"/>
      <c r="E5" s="10"/>
    </row>
    <row r="6" customFormat="false" ht="13.8" hidden="false" customHeight="false" outlineLevel="0" collapsed="false">
      <c r="A6" s="10" t="s">
        <v>623</v>
      </c>
      <c r="B6" s="19"/>
      <c r="C6" s="10" t="n">
        <v>278100</v>
      </c>
      <c r="D6" s="10"/>
      <c r="E6" s="10"/>
    </row>
    <row r="7" customFormat="false" ht="13.8" hidden="false" customHeight="false" outlineLevel="0" collapsed="false">
      <c r="A7" s="10" t="s">
        <v>624</v>
      </c>
      <c r="B7" s="19"/>
      <c r="C7" s="10" t="n">
        <v>10000</v>
      </c>
      <c r="D7" s="10"/>
      <c r="E7" s="10"/>
    </row>
    <row r="8" customFormat="false" ht="13.8" hidden="false" customHeight="false" outlineLevel="0" collapsed="false">
      <c r="A8" s="10" t="s">
        <v>625</v>
      </c>
      <c r="B8" s="19"/>
      <c r="C8" s="10" t="n">
        <v>1000</v>
      </c>
      <c r="D8" s="10"/>
      <c r="E8" s="10"/>
    </row>
    <row r="9" customFormat="false" ht="13.8" hidden="false" customHeight="false" outlineLevel="0" collapsed="false">
      <c r="A9" s="10" t="s">
        <v>626</v>
      </c>
      <c r="B9" s="19"/>
      <c r="C9" s="10" t="n">
        <v>4455.33</v>
      </c>
      <c r="D9" s="10"/>
      <c r="E9" s="10"/>
    </row>
    <row r="10" customFormat="false" ht="13.8" hidden="false" customHeight="false" outlineLevel="0" collapsed="false">
      <c r="A10" s="10" t="s">
        <v>627</v>
      </c>
      <c r="B10" s="19"/>
      <c r="C10" s="10" t="n">
        <v>5631.6</v>
      </c>
      <c r="D10" s="10"/>
      <c r="E10" s="10"/>
    </row>
    <row r="11" customFormat="false" ht="13.8" hidden="false" customHeight="false" outlineLevel="0" collapsed="false">
      <c r="A11" s="10" t="s">
        <v>628</v>
      </c>
      <c r="B11" s="19"/>
      <c r="C11" s="10" t="n">
        <v>1459.4</v>
      </c>
      <c r="D11" s="10"/>
      <c r="E11" s="10"/>
    </row>
    <row r="12" customFormat="false" ht="13.8" hidden="false" customHeight="false" outlineLevel="0" collapsed="false">
      <c r="A12" s="155" t="s">
        <v>629</v>
      </c>
      <c r="B12" s="10"/>
      <c r="C12" s="10" t="n">
        <v>3276.8</v>
      </c>
      <c r="D12" s="10"/>
      <c r="E12" s="10"/>
    </row>
    <row r="13" customFormat="false" ht="13.8" hidden="false" customHeight="false" outlineLevel="0" collapsed="false">
      <c r="A13" s="156" t="s">
        <v>630</v>
      </c>
      <c r="B13" s="10"/>
      <c r="C13" s="10" t="n">
        <v>3796.03</v>
      </c>
      <c r="D13" s="10"/>
      <c r="E13" s="10"/>
    </row>
    <row r="14" customFormat="false" ht="13.8" hidden="false" customHeight="false" outlineLevel="0" collapsed="false">
      <c r="A14" s="156" t="s">
        <v>631</v>
      </c>
      <c r="B14" s="10"/>
      <c r="C14" s="10" t="n">
        <v>2895.2</v>
      </c>
      <c r="D14" s="10"/>
      <c r="E14" s="10"/>
    </row>
    <row r="15" customFormat="false" ht="13.8" hidden="false" customHeight="false" outlineLevel="0" collapsed="false">
      <c r="A15" s="156" t="s">
        <v>632</v>
      </c>
      <c r="B15" s="10"/>
      <c r="C15" s="10" t="n">
        <v>3743.03</v>
      </c>
      <c r="D15" s="10"/>
      <c r="E15" s="10"/>
    </row>
    <row r="16" customFormat="false" ht="13.8" hidden="false" customHeight="false" outlineLevel="0" collapsed="false">
      <c r="A16" s="156" t="s">
        <v>633</v>
      </c>
      <c r="B16" s="10"/>
      <c r="C16" s="10" t="n">
        <v>2477.6</v>
      </c>
      <c r="D16" s="10"/>
      <c r="E16" s="10"/>
    </row>
    <row r="17" customFormat="false" ht="13.8" hidden="false" customHeight="false" outlineLevel="0" collapsed="false">
      <c r="A17" s="156" t="s">
        <v>634</v>
      </c>
      <c r="B17" s="10"/>
      <c r="C17" s="10" t="n">
        <v>1619.8</v>
      </c>
      <c r="D17" s="10"/>
      <c r="E17" s="10"/>
    </row>
    <row r="18" customFormat="false" ht="13.8" hidden="false" customHeight="false" outlineLevel="0" collapsed="false">
      <c r="A18" s="0" t="s">
        <v>635</v>
      </c>
      <c r="B18" s="10"/>
      <c r="C18" s="10" t="n">
        <v>800</v>
      </c>
      <c r="D18" s="10"/>
      <c r="E18" s="10"/>
    </row>
    <row r="19" customFormat="false" ht="68.35" hidden="false" customHeight="false" outlineLevel="0" collapsed="false">
      <c r="A19" s="22" t="s">
        <v>636</v>
      </c>
      <c r="B19" s="10"/>
      <c r="C19" s="10"/>
      <c r="D19" s="10"/>
      <c r="E19" s="157" t="n">
        <v>2094.5</v>
      </c>
      <c r="F19" s="0" t="n">
        <f aca="false">E19/7.5</f>
        <v>279.266666666667</v>
      </c>
    </row>
    <row r="20" customFormat="false" ht="27.9" hidden="false" customHeight="false" outlineLevel="0" collapsed="false">
      <c r="A20" s="22" t="s">
        <v>637</v>
      </c>
      <c r="B20" s="10"/>
      <c r="C20" s="10"/>
      <c r="D20" s="10"/>
      <c r="E20" s="158" t="n">
        <v>22220</v>
      </c>
      <c r="F20" s="0" t="n">
        <f aca="false">E20/7.5</f>
        <v>2962.66666666667</v>
      </c>
    </row>
    <row r="21" customFormat="false" ht="13.8" hidden="false" customHeight="false" outlineLevel="0" collapsed="false">
      <c r="A21" s="22" t="s">
        <v>638</v>
      </c>
      <c r="B21" s="10"/>
      <c r="C21" s="10"/>
      <c r="D21" s="10"/>
      <c r="E21" s="158" t="n">
        <v>600</v>
      </c>
      <c r="F21" s="0" t="n">
        <f aca="false">E21/7.5</f>
        <v>80</v>
      </c>
    </row>
    <row r="22" customFormat="false" ht="13.8" hidden="false" customHeight="false" outlineLevel="0" collapsed="false">
      <c r="A22" s="20" t="s">
        <v>639</v>
      </c>
      <c r="B22" s="10"/>
      <c r="C22" s="10"/>
      <c r="D22" s="10"/>
      <c r="E22" s="158" t="n">
        <v>21468.3</v>
      </c>
      <c r="F22" s="0" t="n">
        <f aca="false">E22/7.5</f>
        <v>2862.44</v>
      </c>
    </row>
    <row r="23" customFormat="false" ht="13.8" hidden="false" customHeight="false" outlineLevel="0" collapsed="false">
      <c r="A23" s="20" t="s">
        <v>640</v>
      </c>
      <c r="B23" s="10"/>
      <c r="C23" s="10"/>
      <c r="D23" s="10"/>
      <c r="E23" s="158" t="n">
        <v>4640</v>
      </c>
      <c r="F23" s="0" t="n">
        <f aca="false">E23/7.5</f>
        <v>618.666666666667</v>
      </c>
    </row>
    <row r="24" customFormat="false" ht="68.35" hidden="false" customHeight="false" outlineLevel="0" collapsed="false">
      <c r="A24" s="22" t="s">
        <v>641</v>
      </c>
      <c r="B24" s="10"/>
      <c r="C24" s="10"/>
      <c r="D24" s="10"/>
      <c r="E24" s="10" t="n">
        <v>7424.5</v>
      </c>
      <c r="F24" s="0" t="n">
        <f aca="false">E24/7.5</f>
        <v>989.933333333333</v>
      </c>
    </row>
    <row r="25" customFormat="false" ht="68.35" hidden="false" customHeight="false" outlineLevel="0" collapsed="false">
      <c r="A25" s="138" t="s">
        <v>642</v>
      </c>
      <c r="B25" s="10"/>
      <c r="C25" s="10"/>
      <c r="D25" s="10"/>
      <c r="E25" s="10" t="n">
        <v>6236</v>
      </c>
      <c r="F25" s="0" t="n">
        <f aca="false">E25/7.5</f>
        <v>831.466666666667</v>
      </c>
    </row>
    <row r="26" customFormat="false" ht="13.8" hidden="false" customHeight="false" outlineLevel="0" collapsed="false">
      <c r="A26" s="10" t="s">
        <v>643</v>
      </c>
      <c r="B26" s="19"/>
      <c r="C26" s="10"/>
      <c r="D26" s="10"/>
      <c r="E26" s="10" t="n">
        <v>800</v>
      </c>
      <c r="F26" s="0" t="n">
        <f aca="false">E26/7.5</f>
        <v>106.666666666667</v>
      </c>
    </row>
    <row r="27" customFormat="false" ht="13.8" hidden="false" customHeight="false" outlineLevel="0" collapsed="false">
      <c r="A27" s="10" t="s">
        <v>644</v>
      </c>
      <c r="B27" s="19"/>
      <c r="C27" s="10"/>
      <c r="D27" s="10"/>
      <c r="E27" s="10" t="n">
        <v>6000</v>
      </c>
      <c r="F27" s="0" t="n">
        <f aca="false">E27/7.5</f>
        <v>800</v>
      </c>
    </row>
    <row r="28" customFormat="false" ht="13.8" hidden="false" customHeight="false" outlineLevel="0" collapsed="false">
      <c r="A28" s="159" t="s">
        <v>645</v>
      </c>
      <c r="B28" s="10"/>
      <c r="C28" s="10"/>
      <c r="D28" s="10"/>
      <c r="E28" s="10" t="n">
        <v>3916</v>
      </c>
      <c r="F28" s="0" t="n">
        <f aca="false">E28/7.5</f>
        <v>522.133333333333</v>
      </c>
    </row>
    <row r="29" customFormat="false" ht="13.8" hidden="false" customHeight="false" outlineLevel="0" collapsed="false">
      <c r="B29" s="0" t="n">
        <f aca="false">SUM(B4:B28)</f>
        <v>446062.3496</v>
      </c>
      <c r="C29" s="0" t="n">
        <f aca="false">SUM(C4:C28)</f>
        <v>319254.79</v>
      </c>
      <c r="D29" s="0" t="n">
        <f aca="false">SUM(D4:D28)</f>
        <v>0</v>
      </c>
      <c r="E29" s="0" t="n">
        <f aca="false">SUM(E4:E28)</f>
        <v>75399.3</v>
      </c>
    </row>
    <row r="30" customFormat="false" ht="13.8" hidden="false" customHeight="false" outlineLevel="0" collapsed="false">
      <c r="A30" s="160" t="s">
        <v>646</v>
      </c>
      <c r="B30" s="160"/>
      <c r="C30" s="39" t="n">
        <f aca="false">ABS(B29-C29)</f>
        <v>126807.5596</v>
      </c>
      <c r="E30" s="0" t="n">
        <f aca="false">C30/7.5</f>
        <v>16907.6746133333</v>
      </c>
    </row>
    <row r="31" customFormat="false" ht="13.8" hidden="false" customHeight="false" outlineLevel="0" collapsed="false">
      <c r="A31" s="160" t="s">
        <v>647</v>
      </c>
      <c r="B31" s="160"/>
      <c r="C31" s="161" t="n">
        <f aca="false">SUM(E19:E28)</f>
        <v>75399.3</v>
      </c>
      <c r="E31" s="0" t="n">
        <f aca="false">C31/7.5</f>
        <v>10053.24</v>
      </c>
    </row>
    <row r="32" customFormat="false" ht="13.8" hidden="false" customHeight="true" outlineLevel="0" collapsed="false">
      <c r="A32" s="162" t="s">
        <v>648</v>
      </c>
      <c r="B32" s="162"/>
      <c r="C32" s="163" t="n">
        <f aca="false">ABS(C30-C31)</f>
        <v>51408.2596</v>
      </c>
      <c r="E32" s="0" t="n">
        <f aca="false">C32/7.5</f>
        <v>6854.43461333334</v>
      </c>
    </row>
    <row r="35" customFormat="false" ht="13.8" hidden="false" customHeight="false" outlineLevel="0" collapsed="false">
      <c r="A35" s="10" t="s">
        <v>649</v>
      </c>
    </row>
    <row r="36" customFormat="false" ht="41.55" hidden="false" customHeight="false" outlineLevel="0" collapsed="false">
      <c r="A36" s="164" t="s">
        <v>650</v>
      </c>
      <c r="B36" s="10"/>
      <c r="C36" s="10"/>
      <c r="D36" s="10"/>
      <c r="E36" s="10" t="n">
        <v>5600</v>
      </c>
    </row>
    <row r="37" customFormat="false" ht="27.9" hidden="false" customHeight="false" outlineLevel="0" collapsed="false">
      <c r="A37" s="165" t="s">
        <v>651</v>
      </c>
      <c r="B37" s="10"/>
      <c r="C37" s="10"/>
      <c r="D37" s="10"/>
      <c r="E37" s="10" t="n">
        <v>7840</v>
      </c>
    </row>
    <row r="38" customFormat="false" ht="13.8" hidden="false" customHeight="false" outlineLevel="0" collapsed="false">
      <c r="A38" s="165" t="s">
        <v>652</v>
      </c>
      <c r="B38" s="54"/>
      <c r="C38" s="54"/>
      <c r="D38" s="54"/>
      <c r="E38" s="54" t="n">
        <v>7840</v>
      </c>
    </row>
    <row r="39" customFormat="false" ht="13.8" hidden="false" customHeight="false" outlineLevel="0" collapsed="false">
      <c r="B39" s="166" t="s">
        <v>653</v>
      </c>
      <c r="C39" s="166"/>
      <c r="D39" s="166"/>
      <c r="E39" s="10" t="n">
        <f aca="false">E36+E37+E38</f>
        <v>21280</v>
      </c>
    </row>
    <row r="42" customFormat="false" ht="13.8" hidden="false" customHeight="false" outlineLevel="0" collapsed="false">
      <c r="A42" s="160" t="s">
        <v>654</v>
      </c>
      <c r="B42" s="20" t="n">
        <f aca="false">C32-E39</f>
        <v>30128.2596</v>
      </c>
      <c r="C42" s="10" t="n">
        <f aca="false">B42/7.5</f>
        <v>4017.10128000001</v>
      </c>
    </row>
  </sheetData>
  <mergeCells count="6">
    <mergeCell ref="B2:C2"/>
    <mergeCell ref="D2:E2"/>
    <mergeCell ref="A30:B30"/>
    <mergeCell ref="A31:B31"/>
    <mergeCell ref="A32:B32"/>
    <mergeCell ref="B39:D3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77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2023-02-09T12:02:13Z</dcterms:created>
  <dc:creator>Alejandro Sanchez Solis</dc:creator>
  <dc:description/>
  <dc:language>en-US</dc:language>
  <cp:lastModifiedBy/>
  <dcterms:modified xsi:type="dcterms:W3CDTF">2025-12-30T15:42:34Z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